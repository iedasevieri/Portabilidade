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edas\Downloads\"/>
    </mc:Choice>
  </mc:AlternateContent>
  <xr:revisionPtr revIDLastSave="0" documentId="13_ncr:1_{80440962-7F09-4C6C-9C6D-EEFDE070E1A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ase" sheetId="1" r:id="rId1"/>
    <sheet name="📊 Dashboard" sheetId="2" r:id="rId2"/>
    <sheet name="📋 Resumo Executivo" sheetId="3" r:id="rId3"/>
  </sheets>
  <definedNames>
    <definedName name="_xlnm._FilterDatabase" localSheetId="0" hidden="1">Base!$A$1:$K$48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6" i="1" l="1"/>
  <c r="I53" i="1"/>
  <c r="I54" i="1"/>
  <c r="I55" i="1"/>
  <c r="I50" i="1"/>
  <c r="J50" i="1" s="1"/>
  <c r="I51" i="1"/>
  <c r="I52" i="1"/>
  <c r="I48" i="1"/>
  <c r="J48" i="1" s="1"/>
  <c r="F53" i="3" s="1"/>
  <c r="I49" i="1"/>
  <c r="J49" i="1" s="1"/>
  <c r="I45" i="1"/>
  <c r="J45" i="1" s="1"/>
  <c r="F50" i="3" s="1"/>
  <c r="K49" i="1"/>
  <c r="K50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3" i="1"/>
  <c r="K4" i="1"/>
  <c r="K5" i="1"/>
  <c r="K6" i="1"/>
  <c r="K7" i="1"/>
  <c r="K2" i="1"/>
  <c r="J3" i="1"/>
  <c r="F6" i="3" s="1"/>
  <c r="J4" i="1"/>
  <c r="F7" i="3" s="1"/>
  <c r="J2" i="1"/>
  <c r="F5" i="3" s="1"/>
  <c r="J33" i="1"/>
  <c r="F36" i="3" s="1"/>
  <c r="I5" i="1"/>
  <c r="I6" i="1"/>
  <c r="J6" i="1" s="1"/>
  <c r="I7" i="1"/>
  <c r="I8" i="1"/>
  <c r="J8" i="1" s="1"/>
  <c r="F11" i="3" s="1"/>
  <c r="I9" i="1"/>
  <c r="I10" i="1"/>
  <c r="J10" i="1" s="1"/>
  <c r="F13" i="3" s="1"/>
  <c r="I11" i="1"/>
  <c r="J11" i="1" s="1"/>
  <c r="F14" i="3" s="1"/>
  <c r="I12" i="1"/>
  <c r="J12" i="1" s="1"/>
  <c r="F15" i="3" s="1"/>
  <c r="I13" i="1"/>
  <c r="J13" i="1" s="1"/>
  <c r="F16" i="3" s="1"/>
  <c r="I14" i="1"/>
  <c r="J14" i="1" s="1"/>
  <c r="F17" i="3" s="1"/>
  <c r="I15" i="1"/>
  <c r="J15" i="1" s="1"/>
  <c r="F18" i="3" s="1"/>
  <c r="I16" i="1"/>
  <c r="J16" i="1" s="1"/>
  <c r="F19" i="3" s="1"/>
  <c r="I17" i="1"/>
  <c r="J17" i="1" s="1"/>
  <c r="F20" i="3" s="1"/>
  <c r="I18" i="1"/>
  <c r="J18" i="1" s="1"/>
  <c r="F21" i="3" s="1"/>
  <c r="I19" i="1"/>
  <c r="J19" i="1" s="1"/>
  <c r="F22" i="3" s="1"/>
  <c r="I20" i="1"/>
  <c r="J20" i="1" s="1"/>
  <c r="F23" i="3" s="1"/>
  <c r="I21" i="1"/>
  <c r="J21" i="1" s="1"/>
  <c r="F24" i="3" s="1"/>
  <c r="I22" i="1"/>
  <c r="J22" i="1" s="1"/>
  <c r="F25" i="3" s="1"/>
  <c r="I23" i="1"/>
  <c r="J23" i="1" s="1"/>
  <c r="F26" i="3" s="1"/>
  <c r="I24" i="1"/>
  <c r="J24" i="1" s="1"/>
  <c r="F27" i="3" s="1"/>
  <c r="I25" i="1"/>
  <c r="J25" i="1" s="1"/>
  <c r="F28" i="3" s="1"/>
  <c r="I26" i="1"/>
  <c r="J26" i="1" s="1"/>
  <c r="F29" i="3" s="1"/>
  <c r="I27" i="1"/>
  <c r="J27" i="1" s="1"/>
  <c r="F30" i="3" s="1"/>
  <c r="I28" i="1"/>
  <c r="J28" i="1" s="1"/>
  <c r="F31" i="3" s="1"/>
  <c r="I29" i="1"/>
  <c r="J29" i="1" s="1"/>
  <c r="F32" i="3" s="1"/>
  <c r="I30" i="1"/>
  <c r="J30" i="1" s="1"/>
  <c r="F33" i="3" s="1"/>
  <c r="I31" i="1"/>
  <c r="J31" i="1" s="1"/>
  <c r="F34" i="3" s="1"/>
  <c r="I32" i="1"/>
  <c r="J32" i="1" s="1"/>
  <c r="F35" i="3" s="1"/>
  <c r="I34" i="1"/>
  <c r="J34" i="1" s="1"/>
  <c r="F37" i="3" s="1"/>
  <c r="I35" i="1"/>
  <c r="J35" i="1" s="1"/>
  <c r="F38" i="3" s="1"/>
  <c r="I36" i="1"/>
  <c r="J36" i="1" s="1"/>
  <c r="F39" i="3" s="1"/>
  <c r="I37" i="1"/>
  <c r="J37" i="1" s="1"/>
  <c r="F40" i="3" s="1"/>
  <c r="I38" i="1"/>
  <c r="J38" i="1" s="1"/>
  <c r="F41" i="3" s="1"/>
  <c r="I39" i="1"/>
  <c r="J39" i="1" s="1"/>
  <c r="F42" i="3" s="1"/>
  <c r="I40" i="1"/>
  <c r="J40" i="1" s="1"/>
  <c r="F43" i="3" s="1"/>
  <c r="J41" i="1"/>
  <c r="F46" i="3" s="1"/>
  <c r="I42" i="1"/>
  <c r="J42" i="1" s="1"/>
  <c r="F47" i="3" s="1"/>
  <c r="I43" i="1"/>
  <c r="J43" i="1" s="1"/>
  <c r="F48" i="3" s="1"/>
  <c r="I44" i="1"/>
  <c r="J44" i="1" s="1"/>
  <c r="F49" i="3" s="1"/>
  <c r="I46" i="1"/>
  <c r="J46" i="1" s="1"/>
  <c r="F51" i="3" s="1"/>
  <c r="I47" i="1"/>
  <c r="J47" i="1" s="1"/>
  <c r="F52" i="3" s="1"/>
  <c r="F44" i="3"/>
  <c r="F45" i="3"/>
  <c r="F54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D12" i="2"/>
  <c r="D10" i="2" l="1"/>
  <c r="D11" i="2"/>
  <c r="D9" i="2"/>
  <c r="C12" i="2"/>
  <c r="C11" i="2"/>
  <c r="C9" i="2"/>
  <c r="C10" i="2"/>
  <c r="E4" i="2"/>
  <c r="F4" i="2"/>
  <c r="B4" i="2"/>
  <c r="C4" i="2"/>
  <c r="D4" i="2"/>
  <c r="F8" i="3"/>
  <c r="F9" i="3"/>
  <c r="J7" i="1"/>
  <c r="J9" i="1"/>
  <c r="F12" i="3" s="1"/>
  <c r="B3" i="3"/>
  <c r="C18" i="2" l="1"/>
  <c r="C19" i="2"/>
  <c r="C17" i="2"/>
  <c r="D18" i="2"/>
  <c r="D19" i="2"/>
  <c r="D20" i="2"/>
  <c r="D17" i="2"/>
  <c r="D21" i="2"/>
  <c r="E16" i="2"/>
  <c r="E17" i="2"/>
  <c r="E19" i="2"/>
  <c r="E20" i="2"/>
  <c r="E21" i="2"/>
  <c r="E18" i="2"/>
  <c r="C20" i="2"/>
  <c r="B16" i="2"/>
  <c r="D16" i="2"/>
  <c r="B21" i="2"/>
  <c r="B17" i="2"/>
  <c r="B18" i="2"/>
  <c r="B20" i="2"/>
  <c r="B19" i="2"/>
  <c r="F10" i="3"/>
  <c r="C21" i="2"/>
  <c r="C16" i="2"/>
</calcChain>
</file>

<file path=xl/sharedStrings.xml><?xml version="1.0" encoding="utf-8"?>
<sst xmlns="http://schemas.openxmlformats.org/spreadsheetml/2006/main" count="261" uniqueCount="159">
  <si>
    <t>Número</t>
  </si>
  <si>
    <t>Origem</t>
  </si>
  <si>
    <t>Data Entrada</t>
  </si>
  <si>
    <t>Problema Identificado</t>
  </si>
  <si>
    <t>Plano de Ação</t>
  </si>
  <si>
    <t>Responsável</t>
  </si>
  <si>
    <t>Prazo</t>
  </si>
  <si>
    <t>Data Finalização</t>
  </si>
  <si>
    <t>Status</t>
  </si>
  <si>
    <t>Dias Atraso</t>
  </si>
  <si>
    <t>Fórum de Portabilidade</t>
  </si>
  <si>
    <t>Atrasado</t>
  </si>
  <si>
    <t>CANCELAMENTO NÃO REALIZADO (Conforme análise de verbatins dos clientes, existem muitas reclamações de cancelamento de portabilidade não realizada)</t>
  </si>
  <si>
    <t>Em Andamento</t>
  </si>
  <si>
    <t>Diego</t>
  </si>
  <si>
    <t>Dani Vieira</t>
  </si>
  <si>
    <t>Janaina Cruz</t>
  </si>
  <si>
    <t>Fauzi</t>
  </si>
  <si>
    <t>PROTOCOLO DE CONFLITOS NÃO GERADOS PARA O BKO PORTABILIDADE (No fechamento de novembro, notamos que aprox. 8% do volume de conflitos do E-commerce entrou em conflito de portabilidade (CPF e Não Habilitado) e não gerou PU automático para tratamento do BKO Portabilidade)
 </t>
  </si>
  <si>
    <t>Aberto chamado PDST-2228261 para investigação com equipe do Guilherme Carrasco_x000B_</t>
  </si>
  <si>
    <t>Guilherme Carrasco</t>
  </si>
  <si>
    <t>Ter alarme para sinalizar falha na integração entre SPN e PS8.</t>
  </si>
  <si>
    <t>SAP – PORTABILIDADE INTERNA (Na reunião de portabilidade realizada em 09/12, foi informado por Cícera que há casos de vendas portabilidade interna do canal Televendas sem geração de BP no sistema SAP)</t>
  </si>
  <si>
    <t>Aberto PDST-2245268 para investigação com time de OGS (TI). No SAP apresenta a mensagem: “Operadora Doadora auto-preenchida deve ser diferente da receptora”</t>
  </si>
  <si>
    <t>Link do site não esta funcionando de maneira correta</t>
  </si>
  <si>
    <t xml:space="preserve">Avaliação e correção do link de status de portabilidade no site </t>
  </si>
  <si>
    <t>Tânia</t>
  </si>
  <si>
    <t>Reunião Portabilidade</t>
  </si>
  <si>
    <t>Reforço da comunicação para vendedores e áreas de suporte sobre o fluxo de entrega de chip</t>
  </si>
  <si>
    <t>Viviane e Natalia</t>
  </si>
  <si>
    <t>Concluído</t>
  </si>
  <si>
    <t xml:space="preserve">Apresentação dos indicadores </t>
  </si>
  <si>
    <t xml:space="preserve">Acompanhamento dos indicadores de reagendamento e ocorrências aos finais de semana, com retorno em próxima agenda </t>
  </si>
  <si>
    <t>Cícera e Galvão</t>
  </si>
  <si>
    <t>Instabilidades de DDD 6XX / Chip</t>
  </si>
  <si>
    <t>Acompanhar chamado casos DDD 6XX  acompanhar os testes com BKO técnico</t>
  </si>
  <si>
    <t>DDP OS160257</t>
  </si>
  <si>
    <t>TI implantar a correção do sincronismo SPN x BR - Aline verificar prazo com TI</t>
  </si>
  <si>
    <t>Aline</t>
  </si>
  <si>
    <t>Bilhete cancelado</t>
  </si>
  <si>
    <t>Ajustar lógica de envio de SMS em bilhetes cancelados - Aline verificar com ABR</t>
  </si>
  <si>
    <t>Ativação CHIP</t>
  </si>
  <si>
    <t>Validar qual é o processo oficial quando o cliente procura a loja solicitando ajuda para ativar o chip, garantindo padronização no atendimento. </t>
  </si>
  <si>
    <t xml:space="preserve">  - Borges e Vivi Becker</t>
  </si>
  <si>
    <t>Garantir que as informações estejam claras no SIM Card e no Kit Welcome, evitando dúvidas durante o atendimento. </t>
  </si>
  <si>
    <t>Marketing</t>
  </si>
  <si>
    <t>Confirmar se o conteúdo orientativo está disponível para a equipe de atendimento, e identificar onde esse material está localizado para facilitar acesso e consulta. </t>
  </si>
  <si>
    <t>Realizar Rastreamento do caso DDD6X, para identificar causa raiz e realizar abrangência para garantir que não tenha mais lote não conforme</t>
  </si>
  <si>
    <t>Hebert</t>
  </si>
  <si>
    <t>Executar plano de substituição conforme fluxo definido e acompanha impacto do lote DDD6X</t>
  </si>
  <si>
    <t>DDP DDPs 160749 e 160750 Falha Atualização do Status do Bilhete</t>
  </si>
  <si>
    <t>Validar geração de protocolo pós-tratativa OGS e confirmar regularização do fluxo BKO</t>
  </si>
  <si>
    <t>Rogerio Galvão</t>
  </si>
  <si>
    <t>Verificar com André Sbarai a revisão do fluxo de atendimento</t>
  </si>
  <si>
    <t>Indicador de reclamações alto na semana 7</t>
  </si>
  <si>
    <t>Acompanhar indicadores de CPF divergente</t>
  </si>
  <si>
    <t xml:space="preserve"> Rogerio Galvão</t>
  </si>
  <si>
    <t>PA Qualificadora</t>
  </si>
  <si>
    <t>obter a fotografia do dia em que os clientes acionaram a PA
Conforme retorno do Diego não é possível incluir a informação do dia do atendimento, pois o SPN traz a foto do dia atual
Solicitado por Eunice para retirar informação da PA Qualificadora</t>
  </si>
  <si>
    <t>Qual fluxo adotado quando o token de CPF divergente não funciona.
-, o BKO direciona clientes para ativação em loja.</t>
  </si>
  <si>
    <t>Validar procedimento oficial do fluxo a ser realizado quando o token não foi ativado.</t>
  </si>
  <si>
    <t>Indicadores</t>
  </si>
  <si>
    <t>Analisar verbatins de reclamações Pré-Pago (jan/fev) para identificar causa raiz.</t>
  </si>
  <si>
    <t>Daniela</t>
  </si>
  <si>
    <t>Avaliar casos de Portabilidade Não Cancelada.</t>
  </si>
  <si>
    <t>PORTABILIDADE INTERNA
Identificada falha no fluxo de Portin Interno . Nos casos Single, quando a entrega do chip ocorre antes do prazo de 15 dias, o sistema não antecipa automaticamente a janela de portabilidade, impedindo a conclusão do processo pelo cliente.</t>
  </si>
  <si>
    <t>Abrir nova demanda para Mailing Portin Interno para direcionamento URA SKill Preferencial.</t>
  </si>
  <si>
    <t>Casos Pré Pago</t>
  </si>
  <si>
    <t>Apresentação da avaliação amostral clientes canal Anatel próxima reunião dia 11/03. Respon. :Daniela</t>
  </si>
  <si>
    <t>Portabilidade Sem Bilhete
O cliente entra no atendimento sem bilhete de portabilidade gerado, e ressalta que quando esse tipo de caso chega ao atendimento, não há procedimento definido para tratativa.</t>
  </si>
  <si>
    <t>Verificar se existe procedimento para tratativa de clientes sem bilhete de portabilidade no atendimento.</t>
  </si>
  <si>
    <t>Diego/Antonio</t>
  </si>
  <si>
    <t>PORTABILIDADE INTERNA
de clientes com Portout na Nucell e portin para Claro, onde o cliente está ficando sem o serviço devido à falta de estrutura nos sistemas da Claro.</t>
  </si>
  <si>
    <t xml:space="preserve">Priorização da abertura do Mailing para direcionamento na Ura do Skill preferencial. </t>
  </si>
  <si>
    <t>Enviar demanda que foi escrita pelo Hugo para acompanhamento da Portabilidade Interna.</t>
  </si>
  <si>
    <t>BKO sinalizou volume de protocolos abaixo do esperado na operação.</t>
  </si>
  <si>
    <t>Avaliar desvio do volume de protocolo com o time BCC e o João.</t>
  </si>
  <si>
    <t>Galvão</t>
  </si>
  <si>
    <t xml:space="preserve">
 Cliente teve bilhete portabilidade cancelado em loja, no qual ocorreram inconsistências :_x000B_Cliente não recebeu o chip
Cliente com CPF divergente</t>
  </si>
  <si>
    <t>Montar plano de ação com o time Borges para treinamento e calibração das lojas. Responsável: Natalia</t>
  </si>
  <si>
    <t>Natalia</t>
  </si>
  <si>
    <t>Portabilidade e Sobreposição de Canais:
Casos em que a janela de portabilidade foi concluída, mas a sobreposição não ocorreu;
Falta de execução da sobreposição mesmo com condições para realização;</t>
  </si>
  <si>
    <t>Analisar motivo da não efetivação da sobreposição</t>
  </si>
  <si>
    <t>Janaina/ OGS</t>
  </si>
  <si>
    <t>Aumento manifestações da Anatel</t>
  </si>
  <si>
    <t>Avaliar entrega de chip.</t>
  </si>
  <si>
    <t>Ednalva</t>
  </si>
  <si>
    <t>Agendar reunião específica para processo de portabilidade sem bilhete</t>
  </si>
  <si>
    <t>Abertura de demanda no Hike para maling de direcionamento de Portabilidade Interna para o Skill preferencial.</t>
  </si>
  <si>
    <t>Implantação da melhoria nas mensagens do sistema ativação simplificada eliminando mensagens genéricas.</t>
  </si>
  <si>
    <t xml:space="preserve">Enviar comunicado para os canais de vendas. </t>
  </si>
  <si>
    <t>Viviane</t>
  </si>
  <si>
    <t>Envio da PA Qualificcadora</t>
  </si>
  <si>
    <t>Processos nas Lojas
 Clientes relataram que vendedores estão retendo o chip, o que impede o aceite do SMS de portabilidade</t>
  </si>
  <si>
    <t>Publicar comunicado de reforço por 3 semanas card em 24/03 (nº 1323505931) e haverá reforço operacional junto a vendedores e gerentes.</t>
  </si>
  <si>
    <t>Sistema Ativação Simplificada</t>
  </si>
  <si>
    <t>Envio do comunicado sobre Mensagens de Portabilidade no Sistema Ativação Simplificada para todos os canais.</t>
  </si>
  <si>
    <t>Vivi</t>
  </si>
  <si>
    <t>Portabilidade e Sobreposição
Solicitação de portabilidade de Pré Pago para sobrepor uma linha que está pré ativa como Controle ou Pós-pago</t>
  </si>
  <si>
    <t xml:space="preserve">Identificar possíveis causas operacionais ou sistêmicas </t>
  </si>
  <si>
    <t>Borges</t>
  </si>
  <si>
    <t>Aumento de conflitos de CPF divergente sem tratamento em loja, principalmente em clientes Combo Multi</t>
  </si>
  <si>
    <t>1. Verificar se há alguma falha sistêmica</t>
  </si>
  <si>
    <t>2. Caso não seja verificado erro sistêmico, será realizado reforço pontual, comunicado e, se necessário, visita às lojas.</t>
  </si>
  <si>
    <t>Ampliar análise de casos de cancelamento não realizado para maior assertividade.</t>
  </si>
  <si>
    <t>Token Anatel</t>
  </si>
  <si>
    <t>Selecionar e documentar casos de Token ANATEL (Ativação Simplificada) para abertura de chamado.</t>
  </si>
  <si>
    <t>Cristiane</t>
  </si>
  <si>
    <t>Lentidão SPN (Token e Bilhete)
Atraso em relação aos bilhetes e token da ABR</t>
  </si>
  <si>
    <t xml:space="preserve">Continuar monitorando possíveis ocorrências de lentidão no SPN, especialmente em janelas de pico, com foco em bilhete, reagendamento e disparo de SMS/token. </t>
  </si>
  <si>
    <t>Galvão, Roldão, Diego e Cícera</t>
  </si>
  <si>
    <t>Chamado ABR – SPN / Token
Atraso em relação aos bilhetes e token da ABR</t>
  </si>
  <si>
    <t>Acompanhar o chamado junto à ABR e reforçar a cobrança para identificação da causa raiz, visando evitar novos impactos operacionais e comerciais</t>
  </si>
  <si>
    <t>Flex – Portabilidade Não Realizada
Foi identificado que o sistema não estava enviando o código para a logística, fazendo com que o cliente precisasse acessar o aplicativo Flex e solicitar manualmente o código</t>
  </si>
  <si>
    <t>Avaliar se a falha no envio do código para logística, decorrente da migração do SAP, está impactando o aumento das reclamações de Portabilidade Não Realizada no Flex</t>
  </si>
  <si>
    <t>Ieda</t>
  </si>
  <si>
    <t>Foram discutidos casos de clientes em processo de portabilidade que não receberam o chip e não possuem número provisório.</t>
  </si>
  <si>
    <t>Realizar reunião de alinhamento sobre casos MVNO sem chip e definição de devolução/estorno.</t>
  </si>
  <si>
    <t>Tania</t>
  </si>
  <si>
    <t>A ABR foi acionada no final de semana devido a instabilidades, durante uma manutenção, foram identificados alguns problemas e realizados testes conjuntos</t>
  </si>
  <si>
    <t>Acionar TI para cobrança de prazo e tratamento da lentidão interna.</t>
  </si>
  <si>
    <t>Foi discutido sobre os planos de ações em andamento relacionados ao cliente em loja própria sendo portado como pré-pago, sobreposição do número provisório e também sobre conflito de CPF divergente</t>
  </si>
  <si>
    <t xml:space="preserve">Definir e comunicar data do workshop em lojas. </t>
  </si>
  <si>
    <t>PORTABILIDADE PORTIN  |  Dashboard Executivo</t>
  </si>
  <si>
    <t>TOTAL DE AÇÕES</t>
  </si>
  <si>
    <t>✅ CONCLUÍDAS</t>
  </si>
  <si>
    <t>⚠ ATRASADAS</t>
  </si>
  <si>
    <t>🔄 EM ANDAMENTO</t>
  </si>
  <si>
    <t>📈 TAXA CONCLUSÃO</t>
  </si>
  <si>
    <t>STATUS — CONTAGEM POR SITUAÇÃO</t>
  </si>
  <si>
    <t>Qtd</t>
  </si>
  <si>
    <t>% do Total</t>
  </si>
  <si>
    <t>TOTAL</t>
  </si>
  <si>
    <t>Problema (resumido)</t>
  </si>
  <si>
    <t>PORTIN — Resumo Executivo do Plano de Ação</t>
  </si>
  <si>
    <t>SITUAÇÃO / PROBLEMA</t>
  </si>
  <si>
    <t>PLANO DE AÇÃO</t>
  </si>
  <si>
    <t>RESPONSÁVEL</t>
  </si>
  <si>
    <t>PRAZO</t>
  </si>
  <si>
    <t>STATUS</t>
  </si>
  <si>
    <t>TOP AÇÕES MAIS ATRASADAS</t>
  </si>
  <si>
    <t>Em andamento</t>
  </si>
  <si>
    <t>PORTABILIDADE INTERNA- Demanda skill preferencial</t>
  </si>
  <si>
    <t>No prazo</t>
  </si>
  <si>
    <t xml:space="preserve">Aumento significativo no volume de protocolo de SMS sem resposta, com crescimento expressivo no dia 24/04. </t>
  </si>
  <si>
    <t>Analisar aumento do volume de protocolos de SMS sem resposta, considerando campanhas de SMS e WhatsApp, para identificação de possível falha sistêmica</t>
  </si>
  <si>
    <t xml:space="preserve">Apresentar conceitualmente o que caracteriza portabilidade indevida / não solicitada. </t>
  </si>
  <si>
    <t>Realizar contato ativo com clientes para confirmação de posse do chip nos casos sem habilitação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</si>
  <si>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  <family val="2"/>
      </rPr>
      <t>Alinhar com Raissa o fluxo de tratamento dos casos relacionados ao produto Claro Flex.</t>
    </r>
  </si>
  <si>
    <t>Portabilidade ocorre sem troca do número provisório para portado, deixando o cliente sem comunicação até tratamento manual</t>
  </si>
  <si>
    <t>Foi identificado que o bilhete de portabilidade está chegando zerado no SAP, embora seja corretamente gerado no SPN.</t>
  </si>
  <si>
    <t>Correção sistêmica para garantir envio correto do SPN para o SAP</t>
  </si>
  <si>
    <t>TI</t>
  </si>
  <si>
    <t>Aumento do número de Não Habilitados, com dificuldade do BKOffice em identificar causa raiz. Também há acúmulo de ordens sem entrega, impactando o fluxo. Os reagendamentos estão sendo feitos manualmente ( CARD ABERTO).</t>
  </si>
  <si>
    <t>Acompanhar indicador de Não Habilitado</t>
  </si>
  <si>
    <t>As vendas do Dia das Mães foram impactadas em função do novo portfólio, que trouxe maior complexidade, e da forma de oferta e execução, que dificultaram a conversão.</t>
  </si>
  <si>
    <t>Avaliar possível falha no direcionamento dos operadores do atendimento para o Televendas.</t>
  </si>
  <si>
    <t>Analisar Reclamações referente ao mês de maio, com foco no Flex, Pré Pago e PME</t>
  </si>
  <si>
    <t>Aumento da quantidade de reclamações no mês de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</si>
</sst>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&quot; dias&quot;"/>
  </numFmts>
  <fonts count="2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8"/>
      <color rgb="FF2C3E50"/>
      <name val="Arial"/>
      <charset val="1"/>
    </font>
    <font>
      <b/>
      <sz val="20"/>
      <color rgb="FFFFFFFF"/>
      <name val="Arial"/>
      <charset val="1"/>
    </font>
    <font>
      <b/>
      <sz val="28"/>
      <color rgb="FF2C3E50"/>
      <name val="Arial"/>
      <charset val="1"/>
    </font>
    <font>
      <b/>
      <sz val="28"/>
      <color rgb="FFFFFFFF"/>
      <name val="Arial"/>
      <charset val="1"/>
    </font>
    <font>
      <sz val="8"/>
      <color rgb="FFFFFFFF"/>
      <name val="Arial"/>
      <charset val="1"/>
    </font>
    <font>
      <b/>
      <sz val="9"/>
      <color rgb="FF2C3E50"/>
      <name val="Arial"/>
      <charset val="1"/>
    </font>
    <font>
      <b/>
      <sz val="9"/>
      <color rgb="FF155724"/>
      <name val="Arial"/>
      <charset val="1"/>
    </font>
    <font>
      <b/>
      <sz val="10"/>
      <color rgb="FF155724"/>
      <name val="Arial"/>
      <charset val="1"/>
    </font>
    <font>
      <sz val="9"/>
      <color rgb="FF155724"/>
      <name val="Arial"/>
      <charset val="1"/>
    </font>
    <font>
      <b/>
      <sz val="9"/>
      <color rgb="FF721C24"/>
      <name val="Arial"/>
      <charset val="1"/>
    </font>
    <font>
      <b/>
      <sz val="10"/>
      <color rgb="FF721C24"/>
      <name val="Arial"/>
      <charset val="1"/>
    </font>
    <font>
      <sz val="9"/>
      <color rgb="FF721C24"/>
      <name val="Arial"/>
      <charset val="1"/>
    </font>
    <font>
      <b/>
      <sz val="9"/>
      <color rgb="FF856404"/>
      <name val="Arial"/>
      <charset val="1"/>
    </font>
    <font>
      <b/>
      <sz val="10"/>
      <color rgb="FF856404"/>
      <name val="Arial"/>
      <charset val="1"/>
    </font>
    <font>
      <sz val="9"/>
      <color rgb="FF856404"/>
      <name val="Arial"/>
      <charset val="1"/>
    </font>
    <font>
      <b/>
      <sz val="10"/>
      <color rgb="FFFFFFFF"/>
      <name val="Arial"/>
      <charset val="1"/>
    </font>
    <font>
      <b/>
      <sz val="9"/>
      <color rgb="FFE3000F"/>
      <name val="Arial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sz val="8"/>
      <color rgb="FF2C3E50"/>
      <name val="Arial"/>
      <family val="2"/>
    </font>
    <font>
      <sz val="12"/>
      <color theme="1"/>
      <name val="Aptos"/>
      <family val="2"/>
    </font>
    <font>
      <sz val="7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E3000F"/>
        <bgColor rgb="FFB0000C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9F9F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E8E8E8"/>
        <bgColor rgb="FFE0E0E0"/>
      </patternFill>
    </fill>
    <fill>
      <patternFill patternType="solid">
        <fgColor rgb="FF1E8C45"/>
        <bgColor rgb="FF008080"/>
      </patternFill>
    </fill>
    <fill>
      <patternFill patternType="solid">
        <fgColor rgb="FF1A5276"/>
        <bgColor rgb="FF0C5460"/>
      </patternFill>
    </fill>
    <fill>
      <patternFill patternType="solid">
        <fgColor rgb="FFB0000C"/>
        <bgColor rgb="FFE3000F"/>
      </patternFill>
    </fill>
    <fill>
      <patternFill patternType="solid">
        <fgColor rgb="FF2C3E50"/>
        <bgColor rgb="FF1A5276"/>
      </patternFill>
    </fill>
    <fill>
      <patternFill patternType="solid">
        <fgColor rgb="FFE0E0E0"/>
        <bgColor rgb="FFD9D9D9"/>
      </patternFill>
    </fill>
    <fill>
      <patternFill patternType="solid">
        <fgColor rgb="FFFDEBD0"/>
        <bgColor rgb="FFFFF3CD"/>
      </patternFill>
    </fill>
    <fill>
      <patternFill patternType="solid">
        <fgColor rgb="FFF5F5F5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indent="1"/>
    </xf>
    <xf numFmtId="1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 indent="1"/>
    </xf>
    <xf numFmtId="1" fontId="2" fillId="3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indent="1"/>
    </xf>
    <xf numFmtId="14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 inden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indent="1"/>
    </xf>
    <xf numFmtId="14" fontId="2" fillId="5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 indent="1"/>
    </xf>
    <xf numFmtId="0" fontId="2" fillId="6" borderId="1" xfId="0" applyFont="1" applyFill="1" applyBorder="1" applyAlignment="1">
      <alignment horizontal="left" vertical="top" indent="1"/>
    </xf>
    <xf numFmtId="14" fontId="2" fillId="6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 wrapText="1" indent="1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top"/>
    </xf>
    <xf numFmtId="0" fontId="6" fillId="8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9" borderId="0" xfId="0" applyFont="1" applyFill="1" applyAlignment="1">
      <alignment horizontal="center" vertical="top"/>
    </xf>
    <xf numFmtId="0" fontId="6" fillId="10" borderId="0" xfId="0" applyFont="1" applyFill="1" applyAlignment="1">
      <alignment horizontal="center" vertical="top"/>
    </xf>
    <xf numFmtId="0" fontId="7" fillId="1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 indent="1"/>
    </xf>
    <xf numFmtId="0" fontId="15" fillId="13" borderId="1" xfId="0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indent="1"/>
    </xf>
    <xf numFmtId="0" fontId="17" fillId="11" borderId="1" xfId="0" applyFont="1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center" vertical="center"/>
    </xf>
    <xf numFmtId="14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top" indent="1"/>
    </xf>
    <xf numFmtId="0" fontId="21" fillId="4" borderId="1" xfId="0" applyFont="1" applyFill="1" applyBorder="1" applyAlignment="1">
      <alignment horizontal="left" vertical="top" wrapText="1" indent="1"/>
    </xf>
    <xf numFmtId="0" fontId="21" fillId="5" borderId="1" xfId="0" applyFont="1" applyFill="1" applyBorder="1" applyAlignment="1">
      <alignment horizontal="left" vertical="top" wrapText="1" indent="1"/>
    </xf>
    <xf numFmtId="0" fontId="21" fillId="5" borderId="1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left" vertical="center" indent="2"/>
    </xf>
    <xf numFmtId="0" fontId="1" fillId="11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2"/>
    </xf>
    <xf numFmtId="0" fontId="20" fillId="11" borderId="0" xfId="0" applyFont="1" applyFill="1" applyAlignment="1">
      <alignment horizontal="left" vertical="center" indent="2"/>
    </xf>
  </cellXfs>
  <cellStyles count="1">
    <cellStyle name="Normal" xfId="0" builtinId="0"/>
  </cellStyles>
  <dxfs count="9">
    <dxf>
      <font>
        <b/>
        <sz val="8"/>
        <color rgb="FF0C5460"/>
        <name val="Arial"/>
        <charset val="1"/>
      </font>
      <fill>
        <patternFill>
          <bgColor rgb="FFBEE5EB"/>
        </patternFill>
      </fill>
    </dxf>
    <dxf>
      <font>
        <b/>
        <sz val="8"/>
        <color rgb="FF721C24"/>
        <name val="Arial"/>
        <charset val="1"/>
      </font>
      <fill>
        <patternFill>
          <bgColor rgb="FFF5C6CB"/>
        </patternFill>
      </fill>
    </dxf>
    <dxf>
      <font>
        <b/>
        <sz val="8"/>
        <color rgb="FF155724"/>
        <name val="Arial"/>
        <charset val="1"/>
      </font>
      <fill>
        <patternFill>
          <bgColor rgb="FFC3E6CB"/>
        </patternFill>
      </fill>
    </dxf>
    <dxf>
      <fill>
        <patternFill>
          <bgColor rgb="FFD6EAF8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ont>
        <b/>
        <sz val="8"/>
        <color rgb="FF856404"/>
        <name val="Arial"/>
        <charset val="1"/>
      </font>
      <fill>
        <patternFill>
          <bgColor rgb="FFFFF3CD"/>
        </patternFill>
      </fill>
    </dxf>
    <dxf>
      <font>
        <b/>
        <sz val="8"/>
        <color rgb="FF721C24"/>
        <name val="Arial"/>
        <charset val="1"/>
      </font>
      <fill>
        <patternFill>
          <bgColor rgb="FFF5C6CB"/>
        </patternFill>
      </fill>
    </dxf>
    <dxf>
      <font>
        <b/>
        <sz val="8"/>
        <color rgb="FF155724"/>
        <name val="Arial"/>
        <charset val="1"/>
      </font>
      <fill>
        <patternFill>
          <bgColor rgb="FFC3E6C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3000F"/>
      <rgbColor rgb="FF00FF00"/>
      <rgbColor rgb="FF0000FF"/>
      <rgbColor rgb="FFF5F5F5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CCCCC"/>
      <rgbColor rgb="FF878787"/>
      <rgbColor rgb="FFE8E8E8"/>
      <rgbColor rgb="FF993366"/>
      <rgbColor rgb="FFFFF3CD"/>
      <rgbColor rgb="FFD6EAF8"/>
      <rgbColor rgb="FF660066"/>
      <rgbColor rgb="FFFF8080"/>
      <rgbColor rgb="FF0066CC"/>
      <rgbColor rgb="FFD9D9D9"/>
      <rgbColor rgb="FF000080"/>
      <rgbColor rgb="FFFF00FF"/>
      <rgbColor rgb="FFF9F9F9"/>
      <rgbColor rgb="FF00FFFF"/>
      <rgbColor rgb="FF800080"/>
      <rgbColor rgb="FFB0000C"/>
      <rgbColor rgb="FF008080"/>
      <rgbColor rgb="FF0000FF"/>
      <rgbColor rgb="FF00CCFF"/>
      <rgbColor rgb="FFBEE5EB"/>
      <rgbColor rgb="FFD5F5E3"/>
      <rgbColor rgb="FFFDEBD0"/>
      <rgbColor rgb="FFC3E6CB"/>
      <rgbColor rgb="FFFADBD8"/>
      <rgbColor rgb="FFE0E0E0"/>
      <rgbColor rgb="FFF5C6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5460"/>
      <rgbColor rgb="FF1E8C45"/>
      <rgbColor rgb="FF155724"/>
      <rgbColor rgb="FF333300"/>
      <rgbColor rgb="FF993300"/>
      <rgbColor rgb="FF993366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300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Ações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Dashboard'!$C$8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E3000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Dashboard'!$B$9:$B$11</c:f>
              <c:strCache>
                <c:ptCount val="3"/>
                <c:pt idx="0">
                  <c:v>Concluído</c:v>
                </c:pt>
                <c:pt idx="1">
                  <c:v>Atrasado</c:v>
                </c:pt>
                <c:pt idx="2">
                  <c:v>Em Andamento</c:v>
                </c:pt>
              </c:strCache>
            </c:strRef>
          </c:cat>
          <c:val>
            <c:numRef>
              <c:f>'📊 Dashboard'!$C$9:$C$11</c:f>
              <c:numCache>
                <c:formatCode>General</c:formatCode>
                <c:ptCount val="3"/>
                <c:pt idx="0">
                  <c:v>41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C-4352-A52B-6AE5A929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346546"/>
        <c:axId val="72368078"/>
      </c:barChart>
      <c:catAx>
        <c:axId val="78346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2368078"/>
        <c:crosses val="autoZero"/>
        <c:auto val="1"/>
        <c:lblAlgn val="ctr"/>
        <c:lblOffset val="100"/>
        <c:noMultiLvlLbl val="0"/>
      </c:catAx>
      <c:valAx>
        <c:axId val="7236807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8346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10</xdr:row>
      <xdr:rowOff>190500</xdr:rowOff>
    </xdr:from>
    <xdr:to>
      <xdr:col>15</xdr:col>
      <xdr:colOff>457080</xdr:colOff>
      <xdr:row>22</xdr:row>
      <xdr:rowOff>15180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showGridLines="0" tabSelected="1" zoomScaleNormal="100" workbookViewId="0">
      <pane ySplit="1" topLeftCell="A51" activePane="bottomLeft" state="frozen"/>
      <selection pane="bottomLeft" activeCell="C65" sqref="C65"/>
    </sheetView>
  </sheetViews>
  <sheetFormatPr defaultColWidth="8.6640625" defaultRowHeight="14.4" x14ac:dyDescent="0.3"/>
  <cols>
    <col min="1" max="1" width="8" customWidth="1"/>
    <col min="2" max="2" width="16" customWidth="1"/>
    <col min="3" max="3" width="13" customWidth="1"/>
    <col min="4" max="4" width="42" customWidth="1"/>
    <col min="5" max="5" width="52" customWidth="1"/>
    <col min="6" max="6" width="22" customWidth="1"/>
    <col min="7" max="7" width="13" customWidth="1"/>
    <col min="8" max="9" width="16" customWidth="1"/>
    <col min="10" max="10" width="13" customWidth="1"/>
    <col min="11" max="11" width="2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143</v>
      </c>
    </row>
    <row r="2" spans="1:11" ht="39.75" customHeight="1" x14ac:dyDescent="0.3">
      <c r="A2" s="2">
        <v>1</v>
      </c>
      <c r="B2" s="12" t="s">
        <v>10</v>
      </c>
      <c r="C2" s="13">
        <v>46029</v>
      </c>
      <c r="D2" s="14" t="s">
        <v>18</v>
      </c>
      <c r="E2" s="14" t="s">
        <v>19</v>
      </c>
      <c r="F2" s="12" t="s">
        <v>20</v>
      </c>
      <c r="G2" s="13">
        <v>46060</v>
      </c>
      <c r="H2" s="11"/>
      <c r="I2" s="11" t="s">
        <v>141</v>
      </c>
      <c r="J2" s="6">
        <f t="shared" ref="J2:J47" ca="1" si="0">IF(I2="Concluído","",IF(G2="","",IF(TODAY()&gt;G2,TODAY()-G2,0)))</f>
        <v>111</v>
      </c>
      <c r="K2" t="str">
        <f>IF(H2="","Não concluído",IF(H2&lt;=G2,"Concluído no prazo","Concluído fora do prazo"))</f>
        <v>Não concluído</v>
      </c>
    </row>
    <row r="3" spans="1:11" ht="39.75" customHeight="1" x14ac:dyDescent="0.3">
      <c r="A3" s="2">
        <v>2</v>
      </c>
      <c r="B3" s="8" t="s">
        <v>10</v>
      </c>
      <c r="C3" s="9">
        <v>46029</v>
      </c>
      <c r="D3" s="10" t="s">
        <v>18</v>
      </c>
      <c r="E3" s="10" t="s">
        <v>21</v>
      </c>
      <c r="F3" s="8" t="s">
        <v>17</v>
      </c>
      <c r="G3" s="13">
        <v>46061</v>
      </c>
      <c r="H3" s="7"/>
      <c r="I3" s="11" t="s">
        <v>141</v>
      </c>
      <c r="J3" s="6">
        <f t="shared" ca="1" si="0"/>
        <v>110</v>
      </c>
      <c r="K3" t="str">
        <f t="shared" ref="K3:K50" si="1">IF(H3="","Não concluído",IF(H3&lt;=G3,"Concluído no prazo","Concluído fora do prazo"))</f>
        <v>Não concluído</v>
      </c>
    </row>
    <row r="4" spans="1:11" ht="39.75" customHeight="1" x14ac:dyDescent="0.3">
      <c r="A4" s="2">
        <v>3</v>
      </c>
      <c r="B4" s="12" t="s">
        <v>10</v>
      </c>
      <c r="C4" s="13">
        <v>46029</v>
      </c>
      <c r="D4" s="14" t="s">
        <v>22</v>
      </c>
      <c r="E4" s="14" t="s">
        <v>23</v>
      </c>
      <c r="F4" s="12" t="s">
        <v>16</v>
      </c>
      <c r="G4" s="13">
        <v>46062</v>
      </c>
      <c r="H4" s="11"/>
      <c r="I4" s="11" t="s">
        <v>141</v>
      </c>
      <c r="J4" s="6">
        <f t="shared" ca="1" si="0"/>
        <v>109</v>
      </c>
      <c r="K4" t="str">
        <f t="shared" si="1"/>
        <v>Não concluído</v>
      </c>
    </row>
    <row r="5" spans="1:11" ht="39.75" customHeight="1" x14ac:dyDescent="0.3">
      <c r="A5" s="2">
        <v>4</v>
      </c>
      <c r="B5" s="3" t="s">
        <v>10</v>
      </c>
      <c r="C5" s="4">
        <v>46043</v>
      </c>
      <c r="D5" s="5" t="s">
        <v>24</v>
      </c>
      <c r="E5" s="5" t="s">
        <v>25</v>
      </c>
      <c r="F5" s="3" t="s">
        <v>26</v>
      </c>
      <c r="G5" s="4">
        <v>46050</v>
      </c>
      <c r="H5" s="2"/>
      <c r="I5" s="11" t="str">
        <f t="shared" ref="I5:I8" ca="1" si="2">IF(G5="","",IF(H5&lt;&gt;"","Concluído",IF(TODAY()&gt;G5,"Atrasado","Em andamento")))</f>
        <v>Atrasado</v>
      </c>
      <c r="J5" s="6"/>
      <c r="K5" t="str">
        <f t="shared" si="1"/>
        <v>Não concluído</v>
      </c>
    </row>
    <row r="6" spans="1:11" ht="39.75" customHeight="1" x14ac:dyDescent="0.3">
      <c r="A6" s="2">
        <v>5</v>
      </c>
      <c r="B6" s="15" t="s">
        <v>10</v>
      </c>
      <c r="C6" s="16">
        <v>46043</v>
      </c>
      <c r="D6" s="17" t="s">
        <v>27</v>
      </c>
      <c r="E6" s="17" t="s">
        <v>28</v>
      </c>
      <c r="F6" s="15" t="s">
        <v>29</v>
      </c>
      <c r="G6" s="16">
        <v>46050</v>
      </c>
      <c r="H6" s="16">
        <v>46057</v>
      </c>
      <c r="I6" s="11" t="str">
        <f t="shared" ca="1" si="2"/>
        <v>Concluído</v>
      </c>
      <c r="J6" s="6" t="str">
        <f t="shared" ca="1" si="0"/>
        <v/>
      </c>
      <c r="K6" t="str">
        <f t="shared" si="1"/>
        <v>Concluído fora do prazo</v>
      </c>
    </row>
    <row r="7" spans="1:11" ht="39.75" customHeight="1" x14ac:dyDescent="0.3">
      <c r="A7" s="2">
        <v>6</v>
      </c>
      <c r="B7" s="15" t="s">
        <v>10</v>
      </c>
      <c r="C7" s="16">
        <v>46043</v>
      </c>
      <c r="D7" s="17" t="s">
        <v>31</v>
      </c>
      <c r="E7" s="17" t="s">
        <v>32</v>
      </c>
      <c r="F7" s="15" t="s">
        <v>33</v>
      </c>
      <c r="G7" s="16">
        <v>46050</v>
      </c>
      <c r="H7" s="16">
        <v>46050</v>
      </c>
      <c r="I7" s="11" t="str">
        <f t="shared" ca="1" si="2"/>
        <v>Concluído</v>
      </c>
      <c r="J7" s="6" t="str">
        <f t="shared" ca="1" si="0"/>
        <v/>
      </c>
      <c r="K7" t="str">
        <f t="shared" si="1"/>
        <v>Concluído no prazo</v>
      </c>
    </row>
    <row r="8" spans="1:11" ht="39.75" customHeight="1" x14ac:dyDescent="0.3">
      <c r="A8" s="2">
        <v>7</v>
      </c>
      <c r="B8" s="15" t="s">
        <v>10</v>
      </c>
      <c r="C8" s="16">
        <v>46050</v>
      </c>
      <c r="D8" s="17" t="s">
        <v>34</v>
      </c>
      <c r="E8" s="17" t="s">
        <v>35</v>
      </c>
      <c r="F8" s="15" t="s">
        <v>14</v>
      </c>
      <c r="G8" s="16">
        <v>46057</v>
      </c>
      <c r="H8" s="16">
        <v>46057</v>
      </c>
      <c r="I8" s="11" t="str">
        <f t="shared" ca="1" si="2"/>
        <v>Concluído</v>
      </c>
      <c r="J8" s="6" t="str">
        <f t="shared" ca="1" si="0"/>
        <v/>
      </c>
      <c r="K8" t="str">
        <f t="shared" si="1"/>
        <v>Concluído no prazo</v>
      </c>
    </row>
    <row r="9" spans="1:11" ht="39.75" customHeight="1" x14ac:dyDescent="0.3">
      <c r="A9" s="2">
        <v>8</v>
      </c>
      <c r="B9" s="15" t="s">
        <v>10</v>
      </c>
      <c r="C9" s="16">
        <v>46050</v>
      </c>
      <c r="D9" s="17" t="s">
        <v>36</v>
      </c>
      <c r="E9" s="17" t="s">
        <v>37</v>
      </c>
      <c r="F9" s="15" t="s">
        <v>38</v>
      </c>
      <c r="G9" s="16">
        <v>46057</v>
      </c>
      <c r="H9" s="16">
        <v>46088</v>
      </c>
      <c r="I9" s="11" t="str">
        <f t="shared" ref="I9:I55" ca="1" si="3">IF(G9="","",IF(H9&lt;&gt;"","Concluído",IF(TODAY()&gt;G9,"Atrasado","Em andamento")))</f>
        <v>Concluído</v>
      </c>
      <c r="J9" s="6" t="str">
        <f t="shared" ca="1" si="0"/>
        <v/>
      </c>
      <c r="K9" t="str">
        <f t="shared" si="1"/>
        <v>Concluído fora do prazo</v>
      </c>
    </row>
    <row r="10" spans="1:11" ht="39.75" customHeight="1" x14ac:dyDescent="0.3">
      <c r="A10" s="2">
        <v>9</v>
      </c>
      <c r="B10" s="15" t="s">
        <v>10</v>
      </c>
      <c r="C10" s="16">
        <v>46050</v>
      </c>
      <c r="D10" s="17" t="s">
        <v>39</v>
      </c>
      <c r="E10" s="17" t="s">
        <v>40</v>
      </c>
      <c r="F10" s="15" t="s">
        <v>38</v>
      </c>
      <c r="G10" s="16">
        <v>46057</v>
      </c>
      <c r="H10" s="16">
        <v>46063</v>
      </c>
      <c r="I10" s="11" t="str">
        <f t="shared" ca="1" si="3"/>
        <v>Concluído</v>
      </c>
      <c r="J10" s="6" t="str">
        <f t="shared" ca="1" si="0"/>
        <v/>
      </c>
      <c r="K10" t="str">
        <f t="shared" si="1"/>
        <v>Concluído fora do prazo</v>
      </c>
    </row>
    <row r="11" spans="1:11" ht="39.75" customHeight="1" x14ac:dyDescent="0.3">
      <c r="A11" s="2">
        <v>10</v>
      </c>
      <c r="B11" s="15" t="s">
        <v>10</v>
      </c>
      <c r="C11" s="16">
        <v>46050</v>
      </c>
      <c r="D11" s="17" t="s">
        <v>41</v>
      </c>
      <c r="E11" s="17" t="s">
        <v>42</v>
      </c>
      <c r="F11" s="15" t="s">
        <v>43</v>
      </c>
      <c r="G11" s="16">
        <v>46057</v>
      </c>
      <c r="H11" s="16">
        <v>46057</v>
      </c>
      <c r="I11" s="11" t="str">
        <f t="shared" ca="1" si="3"/>
        <v>Concluído</v>
      </c>
      <c r="J11" s="6" t="str">
        <f t="shared" ca="1" si="0"/>
        <v/>
      </c>
      <c r="K11" t="str">
        <f t="shared" si="1"/>
        <v>Concluído no prazo</v>
      </c>
    </row>
    <row r="12" spans="1:11" ht="39.75" customHeight="1" x14ac:dyDescent="0.3">
      <c r="A12" s="2">
        <v>11</v>
      </c>
      <c r="B12" s="15" t="s">
        <v>10</v>
      </c>
      <c r="C12" s="16">
        <v>46051</v>
      </c>
      <c r="D12" s="17" t="s">
        <v>41</v>
      </c>
      <c r="E12" s="17" t="s">
        <v>44</v>
      </c>
      <c r="F12" s="15" t="s">
        <v>45</v>
      </c>
      <c r="G12" s="16">
        <v>46057</v>
      </c>
      <c r="H12" s="16">
        <v>46057</v>
      </c>
      <c r="I12" s="11" t="str">
        <f t="shared" ca="1" si="3"/>
        <v>Concluído</v>
      </c>
      <c r="J12" s="6" t="str">
        <f t="shared" ca="1" si="0"/>
        <v/>
      </c>
      <c r="K12" t="str">
        <f t="shared" si="1"/>
        <v>Concluído no prazo</v>
      </c>
    </row>
    <row r="13" spans="1:11" ht="39.75" customHeight="1" x14ac:dyDescent="0.3">
      <c r="A13" s="2">
        <v>12</v>
      </c>
      <c r="B13" s="15" t="s">
        <v>10</v>
      </c>
      <c r="C13" s="16">
        <v>46051</v>
      </c>
      <c r="D13" s="17" t="s">
        <v>41</v>
      </c>
      <c r="E13" s="17" t="s">
        <v>46</v>
      </c>
      <c r="F13" s="15" t="s">
        <v>43</v>
      </c>
      <c r="G13" s="16">
        <v>46058</v>
      </c>
      <c r="H13" s="16">
        <v>46058</v>
      </c>
      <c r="I13" s="11" t="str">
        <f t="shared" ca="1" si="3"/>
        <v>Concluído</v>
      </c>
      <c r="J13" s="6" t="str">
        <f t="shared" ca="1" si="0"/>
        <v/>
      </c>
      <c r="K13" t="str">
        <f t="shared" si="1"/>
        <v>Concluído no prazo</v>
      </c>
    </row>
    <row r="14" spans="1:11" ht="39.75" customHeight="1" x14ac:dyDescent="0.3">
      <c r="A14" s="2">
        <v>13</v>
      </c>
      <c r="B14" s="15" t="s">
        <v>10</v>
      </c>
      <c r="C14" s="16">
        <v>46057</v>
      </c>
      <c r="D14" s="17" t="s">
        <v>34</v>
      </c>
      <c r="E14" s="17" t="s">
        <v>47</v>
      </c>
      <c r="F14" s="15" t="s">
        <v>48</v>
      </c>
      <c r="G14" s="16">
        <v>46064</v>
      </c>
      <c r="H14" s="16">
        <v>46064</v>
      </c>
      <c r="I14" s="11" t="str">
        <f t="shared" ca="1" si="3"/>
        <v>Concluído</v>
      </c>
      <c r="J14" s="6" t="str">
        <f t="shared" ca="1" si="0"/>
        <v/>
      </c>
      <c r="K14" t="str">
        <f t="shared" si="1"/>
        <v>Concluído no prazo</v>
      </c>
    </row>
    <row r="15" spans="1:11" ht="39.75" customHeight="1" x14ac:dyDescent="0.3">
      <c r="A15" s="2">
        <v>14</v>
      </c>
      <c r="B15" s="15" t="s">
        <v>10</v>
      </c>
      <c r="C15" s="16">
        <v>46057</v>
      </c>
      <c r="D15" s="17" t="s">
        <v>34</v>
      </c>
      <c r="E15" s="17" t="s">
        <v>49</v>
      </c>
      <c r="F15" s="15" t="s">
        <v>14</v>
      </c>
      <c r="G15" s="16">
        <v>46064</v>
      </c>
      <c r="H15" s="16">
        <v>46064</v>
      </c>
      <c r="I15" s="11" t="str">
        <f t="shared" ca="1" si="3"/>
        <v>Concluído</v>
      </c>
      <c r="J15" s="6" t="str">
        <f t="shared" ca="1" si="0"/>
        <v/>
      </c>
      <c r="K15" t="str">
        <f t="shared" si="1"/>
        <v>Concluído no prazo</v>
      </c>
    </row>
    <row r="16" spans="1:11" ht="39.75" customHeight="1" x14ac:dyDescent="0.3">
      <c r="A16" s="2">
        <v>15</v>
      </c>
      <c r="B16" s="15" t="s">
        <v>10</v>
      </c>
      <c r="C16" s="16">
        <v>46064</v>
      </c>
      <c r="D16" s="17" t="s">
        <v>50</v>
      </c>
      <c r="E16" s="17" t="s">
        <v>51</v>
      </c>
      <c r="F16" s="15" t="s">
        <v>52</v>
      </c>
      <c r="G16" s="16">
        <v>46073</v>
      </c>
      <c r="H16" s="16">
        <v>46088</v>
      </c>
      <c r="I16" s="11" t="str">
        <f t="shared" ca="1" si="3"/>
        <v>Concluído</v>
      </c>
      <c r="J16" s="6" t="str">
        <f t="shared" ca="1" si="0"/>
        <v/>
      </c>
      <c r="K16" t="str">
        <f t="shared" si="1"/>
        <v>Concluído fora do prazo</v>
      </c>
    </row>
    <row r="17" spans="1:11" ht="39.75" customHeight="1" x14ac:dyDescent="0.3">
      <c r="A17" s="2">
        <v>16</v>
      </c>
      <c r="B17" s="15" t="s">
        <v>10</v>
      </c>
      <c r="C17" s="16">
        <v>46064</v>
      </c>
      <c r="D17" s="17" t="s">
        <v>27</v>
      </c>
      <c r="E17" s="17" t="s">
        <v>53</v>
      </c>
      <c r="F17" s="15" t="s">
        <v>14</v>
      </c>
      <c r="G17" s="16">
        <v>46073</v>
      </c>
      <c r="H17" s="16">
        <v>46073</v>
      </c>
      <c r="I17" s="11" t="str">
        <f t="shared" ca="1" si="3"/>
        <v>Concluído</v>
      </c>
      <c r="J17" s="6" t="str">
        <f t="shared" ca="1" si="0"/>
        <v/>
      </c>
      <c r="K17" t="str">
        <f t="shared" si="1"/>
        <v>Concluído no prazo</v>
      </c>
    </row>
    <row r="18" spans="1:11" ht="39.75" customHeight="1" x14ac:dyDescent="0.3">
      <c r="A18" s="2">
        <v>17</v>
      </c>
      <c r="B18" s="15" t="s">
        <v>10</v>
      </c>
      <c r="C18" s="16">
        <v>46064</v>
      </c>
      <c r="D18" s="17" t="s">
        <v>54</v>
      </c>
      <c r="E18" s="17" t="s">
        <v>55</v>
      </c>
      <c r="F18" s="15" t="s">
        <v>56</v>
      </c>
      <c r="G18" s="16">
        <v>46073</v>
      </c>
      <c r="H18" s="16">
        <v>46073</v>
      </c>
      <c r="I18" s="11" t="str">
        <f t="shared" ca="1" si="3"/>
        <v>Concluído</v>
      </c>
      <c r="J18" s="6" t="str">
        <f t="shared" ca="1" si="0"/>
        <v/>
      </c>
      <c r="K18" t="str">
        <f t="shared" si="1"/>
        <v>Concluído no prazo</v>
      </c>
    </row>
    <row r="19" spans="1:11" ht="39.75" customHeight="1" x14ac:dyDescent="0.3">
      <c r="A19" s="2">
        <v>18</v>
      </c>
      <c r="B19" s="15" t="s">
        <v>10</v>
      </c>
      <c r="C19" s="16">
        <v>46064</v>
      </c>
      <c r="D19" s="17" t="s">
        <v>57</v>
      </c>
      <c r="E19" s="17" t="s">
        <v>58</v>
      </c>
      <c r="F19" s="15" t="s">
        <v>14</v>
      </c>
      <c r="G19" s="16">
        <v>46073</v>
      </c>
      <c r="H19" s="16">
        <v>46073</v>
      </c>
      <c r="I19" s="11" t="str">
        <f t="shared" ca="1" si="3"/>
        <v>Concluído</v>
      </c>
      <c r="J19" s="6" t="str">
        <f t="shared" ca="1" si="0"/>
        <v/>
      </c>
      <c r="K19" t="str">
        <f t="shared" si="1"/>
        <v>Concluído no prazo</v>
      </c>
    </row>
    <row r="20" spans="1:11" ht="39.75" customHeight="1" x14ac:dyDescent="0.3">
      <c r="A20" s="2">
        <v>19</v>
      </c>
      <c r="B20" s="15" t="s">
        <v>10</v>
      </c>
      <c r="C20" s="16">
        <v>46078</v>
      </c>
      <c r="D20" s="17" t="s">
        <v>59</v>
      </c>
      <c r="E20" s="17" t="s">
        <v>60</v>
      </c>
      <c r="F20" s="15" t="s">
        <v>56</v>
      </c>
      <c r="G20" s="16">
        <v>46085</v>
      </c>
      <c r="H20" s="16">
        <v>46085</v>
      </c>
      <c r="I20" s="11" t="str">
        <f t="shared" ca="1" si="3"/>
        <v>Concluído</v>
      </c>
      <c r="J20" s="6" t="str">
        <f t="shared" ca="1" si="0"/>
        <v/>
      </c>
      <c r="K20" t="str">
        <f t="shared" si="1"/>
        <v>Concluído no prazo</v>
      </c>
    </row>
    <row r="21" spans="1:11" ht="39.75" customHeight="1" x14ac:dyDescent="0.3">
      <c r="A21" s="2">
        <v>20</v>
      </c>
      <c r="B21" s="15" t="s">
        <v>10</v>
      </c>
      <c r="C21" s="16">
        <v>46078</v>
      </c>
      <c r="D21" s="17" t="s">
        <v>61</v>
      </c>
      <c r="E21" s="17" t="s">
        <v>62</v>
      </c>
      <c r="F21" s="15" t="s">
        <v>63</v>
      </c>
      <c r="G21" s="16">
        <v>46085</v>
      </c>
      <c r="H21" s="16">
        <v>46085</v>
      </c>
      <c r="I21" s="11" t="str">
        <f t="shared" ca="1" si="3"/>
        <v>Concluído</v>
      </c>
      <c r="J21" s="6" t="str">
        <f t="shared" ca="1" si="0"/>
        <v/>
      </c>
      <c r="K21" t="str">
        <f t="shared" si="1"/>
        <v>Concluído no prazo</v>
      </c>
    </row>
    <row r="22" spans="1:11" ht="39.75" customHeight="1" x14ac:dyDescent="0.3">
      <c r="A22" s="2">
        <v>21</v>
      </c>
      <c r="B22" s="15" t="s">
        <v>10</v>
      </c>
      <c r="C22" s="16">
        <v>46078</v>
      </c>
      <c r="D22" s="17" t="s">
        <v>61</v>
      </c>
      <c r="E22" s="17" t="s">
        <v>64</v>
      </c>
      <c r="F22" s="15" t="s">
        <v>14</v>
      </c>
      <c r="G22" s="16">
        <v>46085</v>
      </c>
      <c r="H22" s="16">
        <v>46085</v>
      </c>
      <c r="I22" s="11" t="str">
        <f t="shared" ca="1" si="3"/>
        <v>Concluído</v>
      </c>
      <c r="J22" s="6" t="str">
        <f t="shared" ca="1" si="0"/>
        <v/>
      </c>
      <c r="K22" t="str">
        <f t="shared" si="1"/>
        <v>Concluído no prazo</v>
      </c>
    </row>
    <row r="23" spans="1:11" ht="39.75" customHeight="1" x14ac:dyDescent="0.3">
      <c r="A23" s="2">
        <v>22</v>
      </c>
      <c r="B23" s="15" t="s">
        <v>10</v>
      </c>
      <c r="C23" s="16">
        <v>46085</v>
      </c>
      <c r="D23" s="17" t="s">
        <v>65</v>
      </c>
      <c r="E23" s="17" t="s">
        <v>66</v>
      </c>
      <c r="F23" s="15" t="s">
        <v>14</v>
      </c>
      <c r="G23" s="16">
        <v>46092</v>
      </c>
      <c r="H23" s="16">
        <v>46101</v>
      </c>
      <c r="I23" s="11" t="str">
        <f t="shared" ca="1" si="3"/>
        <v>Concluído</v>
      </c>
      <c r="J23" s="6" t="str">
        <f t="shared" ca="1" si="0"/>
        <v/>
      </c>
      <c r="K23" t="str">
        <f t="shared" si="1"/>
        <v>Concluído fora do prazo</v>
      </c>
    </row>
    <row r="24" spans="1:11" ht="39.75" customHeight="1" x14ac:dyDescent="0.3">
      <c r="A24" s="2">
        <v>23</v>
      </c>
      <c r="B24" s="15" t="s">
        <v>10</v>
      </c>
      <c r="C24" s="16">
        <v>46086</v>
      </c>
      <c r="D24" s="17" t="s">
        <v>67</v>
      </c>
      <c r="E24" s="17" t="s">
        <v>68</v>
      </c>
      <c r="F24" s="15" t="s">
        <v>15</v>
      </c>
      <c r="G24" s="16">
        <v>46092</v>
      </c>
      <c r="H24" s="16">
        <v>46092</v>
      </c>
      <c r="I24" s="11" t="str">
        <f t="shared" ca="1" si="3"/>
        <v>Concluído</v>
      </c>
      <c r="J24" s="6" t="str">
        <f t="shared" ca="1" si="0"/>
        <v/>
      </c>
      <c r="K24" t="str">
        <f t="shared" si="1"/>
        <v>Concluído no prazo</v>
      </c>
    </row>
    <row r="25" spans="1:11" ht="39.75" customHeight="1" x14ac:dyDescent="0.3">
      <c r="A25" s="2">
        <v>24</v>
      </c>
      <c r="B25" s="15" t="s">
        <v>10</v>
      </c>
      <c r="C25" s="16">
        <v>46092</v>
      </c>
      <c r="D25" s="17" t="s">
        <v>69</v>
      </c>
      <c r="E25" s="17" t="s">
        <v>70</v>
      </c>
      <c r="F25" s="15" t="s">
        <v>71</v>
      </c>
      <c r="G25" s="16">
        <v>46099</v>
      </c>
      <c r="H25" s="16">
        <v>46101</v>
      </c>
      <c r="I25" s="11" t="str">
        <f t="shared" ca="1" si="3"/>
        <v>Concluído</v>
      </c>
      <c r="J25" s="6" t="str">
        <f t="shared" ca="1" si="0"/>
        <v/>
      </c>
      <c r="K25" t="str">
        <f t="shared" si="1"/>
        <v>Concluído fora do prazo</v>
      </c>
    </row>
    <row r="26" spans="1:11" ht="39.75" customHeight="1" x14ac:dyDescent="0.3">
      <c r="A26" s="2">
        <v>25</v>
      </c>
      <c r="B26" s="15" t="s">
        <v>10</v>
      </c>
      <c r="C26" s="16">
        <v>46092</v>
      </c>
      <c r="D26" s="17" t="s">
        <v>72</v>
      </c>
      <c r="E26" s="17" t="s">
        <v>73</v>
      </c>
      <c r="F26" s="15" t="s">
        <v>14</v>
      </c>
      <c r="G26" s="16">
        <v>46099</v>
      </c>
      <c r="H26" s="16">
        <v>46101</v>
      </c>
      <c r="I26" s="11" t="str">
        <f t="shared" ca="1" si="3"/>
        <v>Concluído</v>
      </c>
      <c r="J26" s="6" t="str">
        <f t="shared" ca="1" si="0"/>
        <v/>
      </c>
      <c r="K26" t="str">
        <f t="shared" si="1"/>
        <v>Concluído fora do prazo</v>
      </c>
    </row>
    <row r="27" spans="1:11" ht="39.75" customHeight="1" x14ac:dyDescent="0.3">
      <c r="A27" s="2">
        <v>26</v>
      </c>
      <c r="B27" s="15" t="s">
        <v>10</v>
      </c>
      <c r="C27" s="16">
        <v>46092</v>
      </c>
      <c r="D27" s="17" t="s">
        <v>72</v>
      </c>
      <c r="E27" s="17" t="s">
        <v>74</v>
      </c>
      <c r="F27" s="15" t="s">
        <v>38</v>
      </c>
      <c r="G27" s="16">
        <v>46092</v>
      </c>
      <c r="H27" s="16">
        <v>46093</v>
      </c>
      <c r="I27" s="11" t="str">
        <f t="shared" ca="1" si="3"/>
        <v>Concluído</v>
      </c>
      <c r="J27" s="6" t="str">
        <f t="shared" ca="1" si="0"/>
        <v/>
      </c>
      <c r="K27" t="str">
        <f t="shared" si="1"/>
        <v>Concluído fora do prazo</v>
      </c>
    </row>
    <row r="28" spans="1:11" ht="39.75" customHeight="1" x14ac:dyDescent="0.3">
      <c r="A28" s="2">
        <v>27</v>
      </c>
      <c r="B28" s="15" t="s">
        <v>10</v>
      </c>
      <c r="C28" s="16">
        <v>46092</v>
      </c>
      <c r="D28" s="17" t="s">
        <v>75</v>
      </c>
      <c r="E28" s="17" t="s">
        <v>76</v>
      </c>
      <c r="F28" s="15" t="s">
        <v>77</v>
      </c>
      <c r="G28" s="16">
        <v>46092</v>
      </c>
      <c r="H28" s="16">
        <v>46093</v>
      </c>
      <c r="I28" s="11" t="str">
        <f t="shared" ca="1" si="3"/>
        <v>Concluído</v>
      </c>
      <c r="J28" s="6" t="str">
        <f t="shared" ca="1" si="0"/>
        <v/>
      </c>
      <c r="K28" t="str">
        <f t="shared" si="1"/>
        <v>Concluído fora do prazo</v>
      </c>
    </row>
    <row r="29" spans="1:11" ht="39.75" customHeight="1" x14ac:dyDescent="0.3">
      <c r="A29" s="2">
        <v>28</v>
      </c>
      <c r="B29" s="15" t="s">
        <v>10</v>
      </c>
      <c r="C29" s="16">
        <v>46099</v>
      </c>
      <c r="D29" s="17" t="s">
        <v>78</v>
      </c>
      <c r="E29" s="17" t="s">
        <v>79</v>
      </c>
      <c r="F29" s="15" t="s">
        <v>80</v>
      </c>
      <c r="G29" s="16">
        <v>46105</v>
      </c>
      <c r="H29" s="16">
        <v>46105</v>
      </c>
      <c r="I29" s="11" t="str">
        <f t="shared" ca="1" si="3"/>
        <v>Concluído</v>
      </c>
      <c r="J29" s="6" t="str">
        <f t="shared" ca="1" si="0"/>
        <v/>
      </c>
      <c r="K29" t="str">
        <f t="shared" si="1"/>
        <v>Concluído no prazo</v>
      </c>
    </row>
    <row r="30" spans="1:11" ht="39.75" customHeight="1" x14ac:dyDescent="0.3">
      <c r="A30" s="2">
        <v>29</v>
      </c>
      <c r="B30" s="15" t="s">
        <v>10</v>
      </c>
      <c r="C30" s="16">
        <v>46099</v>
      </c>
      <c r="D30" s="17" t="s">
        <v>81</v>
      </c>
      <c r="E30" s="17" t="s">
        <v>82</v>
      </c>
      <c r="F30" s="15" t="s">
        <v>83</v>
      </c>
      <c r="G30" s="16">
        <v>46105</v>
      </c>
      <c r="H30" s="16">
        <v>46105</v>
      </c>
      <c r="I30" s="11" t="str">
        <f t="shared" ca="1" si="3"/>
        <v>Concluído</v>
      </c>
      <c r="J30" s="6" t="str">
        <f t="shared" ca="1" si="0"/>
        <v/>
      </c>
      <c r="K30" t="str">
        <f t="shared" si="1"/>
        <v>Concluído no prazo</v>
      </c>
    </row>
    <row r="31" spans="1:11" ht="39.75" customHeight="1" x14ac:dyDescent="0.3">
      <c r="A31" s="2">
        <v>30</v>
      </c>
      <c r="B31" s="15" t="s">
        <v>10</v>
      </c>
      <c r="C31" s="16">
        <v>46099</v>
      </c>
      <c r="D31" s="17" t="s">
        <v>84</v>
      </c>
      <c r="E31" s="17" t="s">
        <v>85</v>
      </c>
      <c r="F31" s="15" t="s">
        <v>86</v>
      </c>
      <c r="G31" s="16">
        <v>46105</v>
      </c>
      <c r="H31" s="16">
        <v>46105</v>
      </c>
      <c r="I31" s="11" t="str">
        <f t="shared" ca="1" si="3"/>
        <v>Concluído</v>
      </c>
      <c r="J31" s="6" t="str">
        <f t="shared" ca="1" si="0"/>
        <v/>
      </c>
      <c r="K31" t="str">
        <f t="shared" si="1"/>
        <v>Concluído no prazo</v>
      </c>
    </row>
    <row r="32" spans="1:11" ht="39.75" customHeight="1" x14ac:dyDescent="0.3">
      <c r="A32" s="2">
        <v>31</v>
      </c>
      <c r="B32" s="15" t="s">
        <v>10</v>
      </c>
      <c r="C32" s="16">
        <v>46099</v>
      </c>
      <c r="D32" s="17" t="s">
        <v>84</v>
      </c>
      <c r="E32" s="17" t="s">
        <v>87</v>
      </c>
      <c r="F32" s="15" t="s">
        <v>14</v>
      </c>
      <c r="G32" s="16">
        <v>46105</v>
      </c>
      <c r="H32" s="16">
        <v>46105</v>
      </c>
      <c r="I32" s="11" t="str">
        <f t="shared" ca="1" si="3"/>
        <v>Concluído</v>
      </c>
      <c r="J32" s="6" t="str">
        <f t="shared" ca="1" si="0"/>
        <v/>
      </c>
      <c r="K32" t="str">
        <f t="shared" si="1"/>
        <v>Concluído no prazo</v>
      </c>
    </row>
    <row r="33" spans="1:11" ht="39.75" customHeight="1" x14ac:dyDescent="0.3">
      <c r="A33" s="2">
        <v>32</v>
      </c>
      <c r="B33" s="3" t="s">
        <v>10</v>
      </c>
      <c r="C33" s="4">
        <v>46099</v>
      </c>
      <c r="D33" s="5" t="s">
        <v>142</v>
      </c>
      <c r="E33" s="5" t="s">
        <v>88</v>
      </c>
      <c r="F33" s="3" t="s">
        <v>14</v>
      </c>
      <c r="G33" s="4">
        <v>46105</v>
      </c>
      <c r="H33" s="2"/>
      <c r="I33" s="11" t="s">
        <v>141</v>
      </c>
      <c r="J33" s="6">
        <f t="shared" ca="1" si="0"/>
        <v>66</v>
      </c>
      <c r="K33" t="str">
        <f t="shared" si="1"/>
        <v>Não concluído</v>
      </c>
    </row>
    <row r="34" spans="1:11" ht="39.75" customHeight="1" x14ac:dyDescent="0.3">
      <c r="A34" s="2">
        <v>33</v>
      </c>
      <c r="B34" s="15" t="s">
        <v>10</v>
      </c>
      <c r="C34" s="16">
        <v>46099</v>
      </c>
      <c r="D34" s="17" t="s">
        <v>89</v>
      </c>
      <c r="E34" s="17" t="s">
        <v>90</v>
      </c>
      <c r="F34" s="15" t="s">
        <v>91</v>
      </c>
      <c r="G34" s="16">
        <v>46105</v>
      </c>
      <c r="H34" s="16">
        <v>46111</v>
      </c>
      <c r="I34" s="11" t="str">
        <f t="shared" ca="1" si="3"/>
        <v>Concluído</v>
      </c>
      <c r="J34" s="6" t="str">
        <f t="shared" ca="1" si="0"/>
        <v/>
      </c>
      <c r="K34" t="str">
        <f t="shared" si="1"/>
        <v>Concluído fora do prazo</v>
      </c>
    </row>
    <row r="35" spans="1:11" ht="39.75" customHeight="1" x14ac:dyDescent="0.3">
      <c r="A35" s="2">
        <v>34</v>
      </c>
      <c r="B35" s="15" t="s">
        <v>10</v>
      </c>
      <c r="C35" s="16">
        <v>45741</v>
      </c>
      <c r="D35" s="17" t="s">
        <v>57</v>
      </c>
      <c r="E35" s="17" t="s">
        <v>92</v>
      </c>
      <c r="F35" s="15" t="s">
        <v>14</v>
      </c>
      <c r="G35" s="16">
        <v>46108</v>
      </c>
      <c r="H35" s="16">
        <v>46108</v>
      </c>
      <c r="I35" s="11" t="str">
        <f t="shared" ca="1" si="3"/>
        <v>Concluído</v>
      </c>
      <c r="J35" s="6" t="str">
        <f t="shared" ca="1" si="0"/>
        <v/>
      </c>
      <c r="K35" t="str">
        <f t="shared" si="1"/>
        <v>Concluído no prazo</v>
      </c>
    </row>
    <row r="36" spans="1:11" ht="39.75" customHeight="1" x14ac:dyDescent="0.3">
      <c r="A36" s="2">
        <v>35</v>
      </c>
      <c r="B36" s="15" t="s">
        <v>10</v>
      </c>
      <c r="C36" s="16">
        <v>45741</v>
      </c>
      <c r="D36" s="17" t="s">
        <v>93</v>
      </c>
      <c r="E36" s="17" t="s">
        <v>94</v>
      </c>
      <c r="F36" s="15" t="s">
        <v>80</v>
      </c>
      <c r="G36" s="16">
        <v>46113</v>
      </c>
      <c r="H36" s="16">
        <v>46127</v>
      </c>
      <c r="I36" s="11" t="str">
        <f t="shared" ca="1" si="3"/>
        <v>Concluído</v>
      </c>
      <c r="J36" s="6" t="str">
        <f t="shared" ca="1" si="0"/>
        <v/>
      </c>
      <c r="K36" t="str">
        <f t="shared" si="1"/>
        <v>Concluído fora do prazo</v>
      </c>
    </row>
    <row r="37" spans="1:11" ht="39.75" customHeight="1" x14ac:dyDescent="0.3">
      <c r="A37" s="2">
        <v>36</v>
      </c>
      <c r="B37" s="15" t="s">
        <v>10</v>
      </c>
      <c r="C37" s="16">
        <v>45741</v>
      </c>
      <c r="D37" s="17" t="s">
        <v>95</v>
      </c>
      <c r="E37" s="17" t="s">
        <v>96</v>
      </c>
      <c r="F37" s="15" t="s">
        <v>97</v>
      </c>
      <c r="G37" s="16">
        <v>46105</v>
      </c>
      <c r="H37" s="16">
        <v>46105</v>
      </c>
      <c r="I37" s="11" t="str">
        <f t="shared" ca="1" si="3"/>
        <v>Concluído</v>
      </c>
      <c r="J37" s="6" t="str">
        <f t="shared" ca="1" si="0"/>
        <v/>
      </c>
      <c r="K37" t="str">
        <f t="shared" si="1"/>
        <v>Concluído no prazo</v>
      </c>
    </row>
    <row r="38" spans="1:11" ht="39.75" customHeight="1" x14ac:dyDescent="0.3">
      <c r="A38" s="2">
        <v>37</v>
      </c>
      <c r="B38" s="15" t="s">
        <v>10</v>
      </c>
      <c r="C38" s="16">
        <v>45741</v>
      </c>
      <c r="D38" s="17" t="s">
        <v>98</v>
      </c>
      <c r="E38" s="17" t="s">
        <v>99</v>
      </c>
      <c r="F38" s="15" t="s">
        <v>100</v>
      </c>
      <c r="G38" s="16">
        <v>46115</v>
      </c>
      <c r="H38" s="16">
        <v>46120</v>
      </c>
      <c r="I38" s="11" t="str">
        <f t="shared" ca="1" si="3"/>
        <v>Concluído</v>
      </c>
      <c r="J38" s="6" t="str">
        <f t="shared" ca="1" si="0"/>
        <v/>
      </c>
      <c r="K38" t="str">
        <f t="shared" si="1"/>
        <v>Concluído fora do prazo</v>
      </c>
    </row>
    <row r="39" spans="1:11" ht="39.75" customHeight="1" x14ac:dyDescent="0.3">
      <c r="A39" s="2">
        <v>38</v>
      </c>
      <c r="B39" s="15" t="s">
        <v>10</v>
      </c>
      <c r="C39" s="16">
        <v>45741</v>
      </c>
      <c r="D39" s="17" t="s">
        <v>101</v>
      </c>
      <c r="E39" s="17" t="s">
        <v>102</v>
      </c>
      <c r="F39" s="15" t="s">
        <v>100</v>
      </c>
      <c r="G39" s="16">
        <v>46115</v>
      </c>
      <c r="H39" s="16">
        <v>46127</v>
      </c>
      <c r="I39" s="11" t="str">
        <f t="shared" ca="1" si="3"/>
        <v>Concluído</v>
      </c>
      <c r="J39" s="6" t="str">
        <f t="shared" ca="1" si="0"/>
        <v/>
      </c>
      <c r="K39" t="str">
        <f t="shared" si="1"/>
        <v>Concluído fora do prazo</v>
      </c>
    </row>
    <row r="40" spans="1:11" ht="39.75" customHeight="1" x14ac:dyDescent="0.3">
      <c r="A40" s="2">
        <v>39</v>
      </c>
      <c r="B40" s="15" t="s">
        <v>10</v>
      </c>
      <c r="C40" s="16">
        <v>45741</v>
      </c>
      <c r="D40" s="17" t="s">
        <v>101</v>
      </c>
      <c r="E40" s="17" t="s">
        <v>103</v>
      </c>
      <c r="F40" s="15" t="s">
        <v>80</v>
      </c>
      <c r="G40" s="16">
        <v>46115</v>
      </c>
      <c r="H40" s="16">
        <v>46127</v>
      </c>
      <c r="I40" s="11" t="str">
        <f t="shared" ca="1" si="3"/>
        <v>Concluído</v>
      </c>
      <c r="J40" s="6" t="str">
        <f t="shared" ca="1" si="0"/>
        <v/>
      </c>
      <c r="K40" t="str">
        <f t="shared" si="1"/>
        <v>Concluído fora do prazo</v>
      </c>
    </row>
    <row r="41" spans="1:11" ht="39.75" customHeight="1" x14ac:dyDescent="0.3">
      <c r="A41" s="2">
        <v>40</v>
      </c>
      <c r="B41" s="3" t="s">
        <v>10</v>
      </c>
      <c r="C41" s="4">
        <v>46127</v>
      </c>
      <c r="D41" s="5" t="s">
        <v>12</v>
      </c>
      <c r="E41" s="5" t="s">
        <v>104</v>
      </c>
      <c r="F41" s="3" t="s">
        <v>14</v>
      </c>
      <c r="G41" s="4">
        <v>46133</v>
      </c>
      <c r="H41" s="2"/>
      <c r="I41" s="11" t="s">
        <v>141</v>
      </c>
      <c r="J41" s="6">
        <f t="shared" ca="1" si="0"/>
        <v>38</v>
      </c>
      <c r="K41" t="str">
        <f t="shared" si="1"/>
        <v>Não concluído</v>
      </c>
    </row>
    <row r="42" spans="1:11" ht="39.75" customHeight="1" x14ac:dyDescent="0.3">
      <c r="A42" s="2">
        <v>41</v>
      </c>
      <c r="B42" s="3" t="s">
        <v>10</v>
      </c>
      <c r="C42" s="4">
        <v>46127</v>
      </c>
      <c r="D42" s="5" t="s">
        <v>105</v>
      </c>
      <c r="E42" s="5" t="s">
        <v>106</v>
      </c>
      <c r="F42" s="3" t="s">
        <v>107</v>
      </c>
      <c r="G42" s="4">
        <v>46133</v>
      </c>
      <c r="H42" s="4">
        <v>46147</v>
      </c>
      <c r="I42" s="11" t="str">
        <f t="shared" ca="1" si="3"/>
        <v>Concluído</v>
      </c>
      <c r="J42" s="6" t="str">
        <f t="shared" ca="1" si="0"/>
        <v/>
      </c>
      <c r="K42" t="str">
        <f t="shared" si="1"/>
        <v>Concluído fora do prazo</v>
      </c>
    </row>
    <row r="43" spans="1:11" ht="39.75" customHeight="1" x14ac:dyDescent="0.3">
      <c r="A43" s="2">
        <v>42</v>
      </c>
      <c r="B43" s="3" t="s">
        <v>10</v>
      </c>
      <c r="C43" s="4">
        <v>46134</v>
      </c>
      <c r="D43" s="5" t="s">
        <v>108</v>
      </c>
      <c r="E43" s="5" t="s">
        <v>109</v>
      </c>
      <c r="F43" s="3" t="s">
        <v>110</v>
      </c>
      <c r="G43" s="4">
        <v>46142</v>
      </c>
      <c r="H43" s="4">
        <v>46147</v>
      </c>
      <c r="I43" s="11" t="str">
        <f t="shared" ca="1" si="3"/>
        <v>Concluído</v>
      </c>
      <c r="J43" s="6" t="str">
        <f t="shared" ca="1" si="0"/>
        <v/>
      </c>
      <c r="K43" t="str">
        <f t="shared" si="1"/>
        <v>Concluído fora do prazo</v>
      </c>
    </row>
    <row r="44" spans="1:11" ht="39.75" customHeight="1" x14ac:dyDescent="0.3">
      <c r="A44" s="2">
        <v>43</v>
      </c>
      <c r="B44" s="3" t="s">
        <v>10</v>
      </c>
      <c r="C44" s="4">
        <v>46134</v>
      </c>
      <c r="D44" s="5" t="s">
        <v>111</v>
      </c>
      <c r="E44" s="5" t="s">
        <v>112</v>
      </c>
      <c r="F44" s="3" t="s">
        <v>38</v>
      </c>
      <c r="G44" s="4">
        <v>46142</v>
      </c>
      <c r="H44" s="4">
        <v>46147</v>
      </c>
      <c r="I44" s="11" t="str">
        <f t="shared" ca="1" si="3"/>
        <v>Concluído</v>
      </c>
      <c r="J44" s="6" t="str">
        <f t="shared" ca="1" si="0"/>
        <v/>
      </c>
      <c r="K44" t="str">
        <f t="shared" si="1"/>
        <v>Concluído fora do prazo</v>
      </c>
    </row>
    <row r="45" spans="1:11" ht="39.75" customHeight="1" x14ac:dyDescent="0.3">
      <c r="A45" s="2">
        <v>44</v>
      </c>
      <c r="B45" s="8" t="s">
        <v>10</v>
      </c>
      <c r="C45" s="9">
        <v>46134</v>
      </c>
      <c r="D45" s="10" t="s">
        <v>113</v>
      </c>
      <c r="E45" s="10" t="s">
        <v>114</v>
      </c>
      <c r="F45" s="8" t="s">
        <v>115</v>
      </c>
      <c r="G45" s="9">
        <v>46142</v>
      </c>
      <c r="H45" s="9">
        <v>46155</v>
      </c>
      <c r="I45" s="11" t="str">
        <f t="shared" ca="1" si="3"/>
        <v>Concluído</v>
      </c>
      <c r="J45" s="6" t="str">
        <f t="shared" ca="1" si="0"/>
        <v/>
      </c>
      <c r="K45" t="str">
        <f t="shared" si="1"/>
        <v>Concluído fora do prazo</v>
      </c>
    </row>
    <row r="46" spans="1:11" ht="39.75" customHeight="1" x14ac:dyDescent="0.3">
      <c r="A46" s="2">
        <v>45</v>
      </c>
      <c r="B46" s="12" t="s">
        <v>10</v>
      </c>
      <c r="C46" s="13">
        <v>46141</v>
      </c>
      <c r="D46" s="14" t="s">
        <v>116</v>
      </c>
      <c r="E46" s="14" t="s">
        <v>117</v>
      </c>
      <c r="F46" s="12" t="s">
        <v>118</v>
      </c>
      <c r="G46" s="13">
        <v>46148</v>
      </c>
      <c r="H46" s="11"/>
      <c r="I46" s="11" t="str">
        <f t="shared" ca="1" si="3"/>
        <v>Atrasado</v>
      </c>
      <c r="J46" s="6">
        <f t="shared" ca="1" si="0"/>
        <v>23</v>
      </c>
      <c r="K46" t="str">
        <f t="shared" si="1"/>
        <v>Não concluído</v>
      </c>
    </row>
    <row r="47" spans="1:11" ht="39.75" customHeight="1" x14ac:dyDescent="0.3">
      <c r="A47" s="2">
        <v>46</v>
      </c>
      <c r="B47" s="8" t="s">
        <v>10</v>
      </c>
      <c r="C47" s="9">
        <v>46141</v>
      </c>
      <c r="D47" s="10" t="s">
        <v>119</v>
      </c>
      <c r="E47" s="10" t="s">
        <v>120</v>
      </c>
      <c r="F47" s="8" t="s">
        <v>38</v>
      </c>
      <c r="G47" s="9">
        <v>46148</v>
      </c>
      <c r="H47" s="9">
        <v>46148</v>
      </c>
      <c r="I47" s="11" t="str">
        <f t="shared" ca="1" si="3"/>
        <v>Concluído</v>
      </c>
      <c r="J47" s="6" t="str">
        <f t="shared" ca="1" si="0"/>
        <v/>
      </c>
      <c r="K47" t="str">
        <f t="shared" si="1"/>
        <v>Concluído no prazo</v>
      </c>
    </row>
    <row r="48" spans="1:11" ht="39.75" customHeight="1" x14ac:dyDescent="0.3">
      <c r="A48" s="2">
        <v>47</v>
      </c>
      <c r="B48" s="12" t="s">
        <v>10</v>
      </c>
      <c r="C48" s="13">
        <v>46141</v>
      </c>
      <c r="D48" s="14" t="s">
        <v>121</v>
      </c>
      <c r="E48" s="14" t="s">
        <v>122</v>
      </c>
      <c r="F48" s="12" t="s">
        <v>100</v>
      </c>
      <c r="G48" s="13">
        <v>46148</v>
      </c>
      <c r="H48" s="11"/>
      <c r="I48" s="11" t="str">
        <f t="shared" ca="1" si="3"/>
        <v>Atrasado</v>
      </c>
      <c r="J48" s="6">
        <f t="shared" ref="J48:J50" ca="1" si="4">IF(I48="Concluído","",IF(G48="","",IF(TODAY()&gt;G48,TODAY()-G48,0)))</f>
        <v>23</v>
      </c>
      <c r="K48" t="str">
        <f t="shared" si="1"/>
        <v>Não concluído</v>
      </c>
    </row>
    <row r="49" spans="1:11" ht="39.75" customHeight="1" x14ac:dyDescent="0.3">
      <c r="A49" s="2">
        <v>48</v>
      </c>
      <c r="B49" s="8" t="s">
        <v>10</v>
      </c>
      <c r="C49" s="9">
        <v>46148</v>
      </c>
      <c r="D49" s="10" t="s">
        <v>144</v>
      </c>
      <c r="E49" s="10" t="s">
        <v>145</v>
      </c>
      <c r="F49" s="52" t="s">
        <v>77</v>
      </c>
      <c r="G49" s="9">
        <v>46155</v>
      </c>
      <c r="H49" s="9">
        <v>46155</v>
      </c>
      <c r="I49" s="11" t="str">
        <f t="shared" ca="1" si="3"/>
        <v>Concluído</v>
      </c>
      <c r="J49" s="6" t="str">
        <f t="shared" ca="1" si="4"/>
        <v/>
      </c>
      <c r="K49" t="str">
        <f t="shared" si="1"/>
        <v>Concluído no prazo</v>
      </c>
    </row>
    <row r="50" spans="1:11" ht="39.75" customHeight="1" x14ac:dyDescent="0.3">
      <c r="A50" s="2">
        <v>49</v>
      </c>
      <c r="B50" s="12" t="s">
        <v>10</v>
      </c>
      <c r="C50" s="13">
        <v>46148</v>
      </c>
      <c r="D50" s="14" t="s">
        <v>61</v>
      </c>
      <c r="E50" s="14" t="s">
        <v>146</v>
      </c>
      <c r="F50" s="12" t="s">
        <v>115</v>
      </c>
      <c r="G50" s="13">
        <v>46155</v>
      </c>
      <c r="H50" s="13">
        <v>46155</v>
      </c>
      <c r="I50" s="11" t="str">
        <f t="shared" ca="1" si="3"/>
        <v>Concluído</v>
      </c>
      <c r="J50" s="6" t="str">
        <f t="shared" ca="1" si="4"/>
        <v/>
      </c>
      <c r="K50" t="str">
        <f t="shared" si="1"/>
        <v>Concluído no prazo</v>
      </c>
    </row>
    <row r="51" spans="1:11" ht="39.75" customHeight="1" x14ac:dyDescent="0.3">
      <c r="A51" s="2">
        <v>50</v>
      </c>
      <c r="B51" s="8" t="s">
        <v>10</v>
      </c>
      <c r="C51" s="9">
        <v>46148</v>
      </c>
      <c r="D51" s="53" t="s">
        <v>149</v>
      </c>
      <c r="E51" s="10" t="s">
        <v>147</v>
      </c>
      <c r="F51" s="52" t="s">
        <v>77</v>
      </c>
      <c r="G51" s="9">
        <v>46155</v>
      </c>
      <c r="H51" s="9"/>
      <c r="I51" s="11" t="str">
        <f t="shared" ca="1" si="3"/>
        <v>Atrasado</v>
      </c>
      <c r="J51" s="6"/>
    </row>
    <row r="52" spans="1:11" ht="39.75" customHeight="1" x14ac:dyDescent="0.3">
      <c r="A52" s="2">
        <v>51</v>
      </c>
      <c r="B52" s="12" t="s">
        <v>10</v>
      </c>
      <c r="C52" s="13">
        <v>46148</v>
      </c>
      <c r="D52" s="54" t="s">
        <v>149</v>
      </c>
      <c r="E52" s="14" t="s">
        <v>148</v>
      </c>
      <c r="F52" s="55" t="s">
        <v>77</v>
      </c>
      <c r="G52" s="13">
        <v>46155</v>
      </c>
      <c r="H52" s="11"/>
      <c r="I52" s="11" t="str">
        <f t="shared" ca="1" si="3"/>
        <v>Atrasado</v>
      </c>
      <c r="J52" s="6"/>
    </row>
    <row r="53" spans="1:11" ht="39.75" customHeight="1" x14ac:dyDescent="0.3">
      <c r="A53" s="2">
        <v>52</v>
      </c>
      <c r="B53" s="8" t="s">
        <v>10</v>
      </c>
      <c r="C53" s="9">
        <v>46155</v>
      </c>
      <c r="D53" s="53" t="s">
        <v>150</v>
      </c>
      <c r="E53" s="10" t="s">
        <v>151</v>
      </c>
      <c r="F53" s="52" t="s">
        <v>152</v>
      </c>
      <c r="G53" s="9">
        <v>46162</v>
      </c>
      <c r="H53" s="9"/>
      <c r="I53" s="11" t="str">
        <f t="shared" ca="1" si="3"/>
        <v>Atrasado</v>
      </c>
      <c r="J53" s="6"/>
    </row>
    <row r="54" spans="1:11" ht="39.75" customHeight="1" x14ac:dyDescent="0.3">
      <c r="A54" s="2">
        <v>53</v>
      </c>
      <c r="B54" s="12" t="s">
        <v>10</v>
      </c>
      <c r="C54" s="13">
        <v>46155</v>
      </c>
      <c r="D54" s="54" t="s">
        <v>153</v>
      </c>
      <c r="E54" s="14" t="s">
        <v>154</v>
      </c>
      <c r="F54" s="12" t="s">
        <v>77</v>
      </c>
      <c r="G54" s="13">
        <v>46162</v>
      </c>
      <c r="H54" s="11"/>
      <c r="I54" s="11" t="str">
        <f t="shared" ca="1" si="3"/>
        <v>Atrasado</v>
      </c>
      <c r="J54" s="6"/>
    </row>
    <row r="55" spans="1:11" ht="39.75" customHeight="1" x14ac:dyDescent="0.3">
      <c r="A55" s="2">
        <v>54</v>
      </c>
      <c r="B55" s="8" t="s">
        <v>10</v>
      </c>
      <c r="C55" s="9">
        <v>46155</v>
      </c>
      <c r="D55" s="53" t="s">
        <v>155</v>
      </c>
      <c r="E55" s="10" t="s">
        <v>156</v>
      </c>
      <c r="F55" s="52" t="s">
        <v>14</v>
      </c>
      <c r="G55" s="9">
        <v>46162</v>
      </c>
      <c r="H55" s="9"/>
      <c r="I55" s="11" t="str">
        <f t="shared" ca="1" si="3"/>
        <v>Atrasado</v>
      </c>
      <c r="J55" s="6"/>
    </row>
    <row r="56" spans="1:11" ht="39.75" customHeight="1" x14ac:dyDescent="0.3">
      <c r="A56" s="2">
        <v>53</v>
      </c>
      <c r="B56" s="12" t="s">
        <v>10</v>
      </c>
      <c r="C56" s="13">
        <v>46162</v>
      </c>
      <c r="D56" s="54" t="s">
        <v>158</v>
      </c>
      <c r="E56" s="14" t="s">
        <v>157</v>
      </c>
      <c r="F56" s="12" t="s">
        <v>115</v>
      </c>
      <c r="G56" s="13">
        <v>46168</v>
      </c>
      <c r="H56" s="11"/>
      <c r="I56" s="11" t="str">
        <f t="shared" ref="I56" ca="1" si="5">IF(G56="","",IF(H56&lt;&gt;"","Concluído",IF(TODAY()&gt;G56,"Atrasado","Em andamento")))</f>
        <v>Atrasado</v>
      </c>
      <c r="J56" s="6"/>
    </row>
  </sheetData>
  <autoFilter ref="A1:K48" xr:uid="{00000000-0009-0000-0000-000000000000}"/>
  <conditionalFormatting sqref="I2:I56">
    <cfRule type="cellIs" dxfId="8" priority="2" operator="equal">
      <formula>"Concluído"</formula>
    </cfRule>
    <cfRule type="cellIs" dxfId="7" priority="3" operator="equal">
      <formula>"Atrasado"</formula>
    </cfRule>
    <cfRule type="cellIs" dxfId="6" priority="4" operator="equal">
      <formula>"Em Andamento"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showGridLines="0" topLeftCell="A14" zoomScaleNormal="100" workbookViewId="0">
      <selection activeCell="J10" sqref="J10"/>
    </sheetView>
  </sheetViews>
  <sheetFormatPr defaultColWidth="8.6640625" defaultRowHeight="14.4" x14ac:dyDescent="0.3"/>
  <cols>
    <col min="1" max="1" width="2" customWidth="1"/>
    <col min="2" max="2" width="40" customWidth="1"/>
    <col min="3" max="6" width="20" customWidth="1"/>
    <col min="7" max="7" width="2" customWidth="1"/>
  </cols>
  <sheetData>
    <row r="1" spans="2:6" ht="12" customHeight="1" x14ac:dyDescent="0.3"/>
    <row r="2" spans="2:6" ht="45.75" customHeight="1" x14ac:dyDescent="0.3">
      <c r="B2" s="56" t="s">
        <v>123</v>
      </c>
      <c r="C2" s="56"/>
      <c r="D2" s="56"/>
      <c r="E2" s="56"/>
      <c r="F2" s="56"/>
    </row>
    <row r="3" spans="2:6" ht="12" customHeight="1" x14ac:dyDescent="0.3"/>
    <row r="4" spans="2:6" ht="33.75" customHeight="1" x14ac:dyDescent="0.3">
      <c r="B4" s="18">
        <f ca="1">COUNTA(Base!I2:I60)</f>
        <v>55</v>
      </c>
      <c r="C4" s="19">
        <f ca="1">COUNTIF(Base!I2:I60,"Concluído")</f>
        <v>41</v>
      </c>
      <c r="D4" s="20">
        <f ca="1">COUNTIF(Base!I2:I60,"Atrasado")</f>
        <v>9</v>
      </c>
      <c r="E4" s="21">
        <f ca="1">COUNTIF(Base!I2:I60,"Em Andamento")</f>
        <v>5</v>
      </c>
      <c r="F4" s="22" t="str">
        <f ca="1">IFERROR(TEXT(COUNTIF(Base!I2:I60,"Concluído")/COUNTA(Base!I2:I60),"0.0%"),"-")</f>
        <v>75%</v>
      </c>
    </row>
    <row r="5" spans="2:6" ht="24" customHeight="1" x14ac:dyDescent="0.3">
      <c r="B5" s="23" t="s">
        <v>124</v>
      </c>
      <c r="C5" s="24" t="s">
        <v>125</v>
      </c>
      <c r="D5" s="25" t="s">
        <v>126</v>
      </c>
      <c r="E5" s="26" t="s">
        <v>127</v>
      </c>
      <c r="F5" s="27" t="s">
        <v>128</v>
      </c>
    </row>
    <row r="6" spans="2:6" ht="12" customHeight="1" x14ac:dyDescent="0.3"/>
    <row r="7" spans="2:6" ht="25.5" customHeight="1" x14ac:dyDescent="0.3">
      <c r="B7" s="57" t="s">
        <v>129</v>
      </c>
      <c r="C7" s="57"/>
    </row>
    <row r="8" spans="2:6" ht="21.75" customHeight="1" x14ac:dyDescent="0.3">
      <c r="B8" s="28" t="s">
        <v>8</v>
      </c>
      <c r="C8" s="28" t="s">
        <v>130</v>
      </c>
      <c r="D8" s="28" t="s">
        <v>131</v>
      </c>
    </row>
    <row r="9" spans="2:6" ht="21.75" customHeight="1" x14ac:dyDescent="0.3">
      <c r="B9" s="29" t="s">
        <v>30</v>
      </c>
      <c r="C9" s="30">
        <f ca="1">COUNTIF(Base!I2:I60,"Concluído")</f>
        <v>41</v>
      </c>
      <c r="D9" s="31">
        <f ca="1">IFERROR(COUNTIF(Base!I2:I60,"Concluído")/COUNTA(Base!I2:I60),0)</f>
        <v>0.74545454545454548</v>
      </c>
    </row>
    <row r="10" spans="2:6" ht="21.75" customHeight="1" x14ac:dyDescent="0.3">
      <c r="B10" s="32" t="s">
        <v>11</v>
      </c>
      <c r="C10" s="33">
        <f ca="1">COUNTIF(Base!I2:I60,"Atrasado")</f>
        <v>9</v>
      </c>
      <c r="D10" s="34">
        <f ca="1">IFERROR(COUNTIF(Base!I2:I60,"Atrasado")/COUNTA(Base!I2:I60),0)</f>
        <v>0.16363636363636364</v>
      </c>
    </row>
    <row r="11" spans="2:6" ht="21.75" customHeight="1" x14ac:dyDescent="0.3">
      <c r="B11" s="35" t="s">
        <v>13</v>
      </c>
      <c r="C11" s="36">
        <f ca="1">COUNTIF(Base!I2:I60,"Em Andamento")</f>
        <v>5</v>
      </c>
      <c r="D11" s="37">
        <f ca="1">IFERROR(COUNTIF(Base!I2:I48,"Em Andamento")/COUNTA(Base!I2:I60),0)</f>
        <v>9.0909090909090912E-2</v>
      </c>
    </row>
    <row r="12" spans="2:6" ht="21.75" customHeight="1" x14ac:dyDescent="0.3">
      <c r="B12" s="38" t="s">
        <v>132</v>
      </c>
      <c r="C12" s="39">
        <f ca="1">COUNTA(Base!I2:I60)</f>
        <v>55</v>
      </c>
      <c r="D12" s="40">
        <f>100%</f>
        <v>1</v>
      </c>
    </row>
    <row r="13" spans="2:6" ht="21.75" customHeight="1" x14ac:dyDescent="0.3"/>
    <row r="14" spans="2:6" ht="21.75" customHeight="1" x14ac:dyDescent="0.3">
      <c r="B14" s="57" t="s">
        <v>140</v>
      </c>
      <c r="C14" s="57"/>
      <c r="D14" s="57"/>
      <c r="E14" s="57"/>
      <c r="F14" s="57"/>
    </row>
    <row r="15" spans="2:6" ht="21.75" customHeight="1" x14ac:dyDescent="0.3">
      <c r="B15" s="28" t="s">
        <v>133</v>
      </c>
      <c r="C15" s="28" t="s">
        <v>5</v>
      </c>
      <c r="D15" s="28" t="s">
        <v>6</v>
      </c>
      <c r="E15" s="28" t="s">
        <v>9</v>
      </c>
    </row>
    <row r="16" spans="2:6" ht="27.75" customHeight="1" x14ac:dyDescent="0.3">
      <c r="B16" s="41" t="str">
        <f ca="1">IFERROR(LEFT(INDEX(Base!D2:D48,MATCH(LARGE(Base!J2:J60,1),Base!J2:J60,0)),70),"-")</f>
        <v>PROTOCOLO DE CONFLITOS NÃO GERADOS PARA O BKO PORTABILIDADE (No fecham</v>
      </c>
      <c r="C16" s="42" t="str">
        <f ca="1">IFERROR(INDEX(Base!F2:F60,MATCH(LARGE(Base!J2:J60,1),Base!J2:J60,0)),"-")</f>
        <v>Guilherme Carrasco</v>
      </c>
      <c r="D16" s="43">
        <f ca="1">IFERROR(INDEX(Base!G2:G60,MATCH(LARGE(Base!J2:J60,1),Base!J2:J60,0)),"-")</f>
        <v>46060</v>
      </c>
      <c r="E16" s="44">
        <f ca="1">IFERROR(LARGE(Base!J2:J48,1),"")</f>
        <v>111</v>
      </c>
    </row>
    <row r="17" spans="2:5" ht="27.75" customHeight="1" x14ac:dyDescent="0.3">
      <c r="B17" s="41" t="str">
        <f ca="1">IFERROR(LEFT(INDEX(Base!D3:D49,MATCH(LARGE(Base!J3:J61,1),Base!J3:J61,0)),70),"-")</f>
        <v>PROTOCOLO DE CONFLITOS NÃO GERADOS PARA O BKO PORTABILIDADE (No fecham</v>
      </c>
      <c r="C17" s="42" t="str">
        <f ca="1">IFERROR(INDEX(Base!F3:F61,MATCH(LARGE(Base!J3:J61,1),Base!J3:J61,0)),"-")</f>
        <v>Fauzi</v>
      </c>
      <c r="D17" s="43">
        <f ca="1">IFERROR(INDEX(Base!G2:G60,MATCH(LARGE(Base!J2:J48,2),Base!J2:J48,0)),"-")</f>
        <v>46061</v>
      </c>
      <c r="E17" s="44">
        <f ca="1">IFERROR(LARGE(Base!J2:J48,2),"")</f>
        <v>110</v>
      </c>
    </row>
    <row r="18" spans="2:5" ht="27.75" customHeight="1" x14ac:dyDescent="0.3">
      <c r="B18" s="41" t="str">
        <f ca="1">IFERROR(LEFT(INDEX(Base!D4:D50,MATCH(LARGE(Base!J4:J62,1),Base!J4:J62,0)),70),"-")</f>
        <v xml:space="preserve">SAP – PORTABILIDADE INTERNA (Na reunião de portabilidade realizada em </v>
      </c>
      <c r="C18" s="42" t="str">
        <f ca="1">IFERROR(INDEX(Base!F4:F62,MATCH(LARGE(Base!J4:J62,1),Base!J4:J62,0)),"-")</f>
        <v>Janaina Cruz</v>
      </c>
      <c r="D18" s="43">
        <f ca="1">IFERROR(INDEX(Base!G2:G48,MATCH(LARGE(Base!J2:J60,3),Base!J2:J48,0)),"-")</f>
        <v>46062</v>
      </c>
      <c r="E18" s="44">
        <f ca="1">IFERROR(LARGE(Base!J2:J48,3),"")</f>
        <v>109</v>
      </c>
    </row>
    <row r="19" spans="2:5" ht="27.75" customHeight="1" x14ac:dyDescent="0.3">
      <c r="B19" s="41" t="str">
        <f ca="1">IFERROR(LEFT(INDEX(Base!D5:D51,MATCH(LARGE(Base!J5:J63,1),Base!J5:J63,0)),70),"-")</f>
        <v>PORTABILIDADE INTERNA- Demanda skill preferencial</v>
      </c>
      <c r="C19" s="42" t="str">
        <f ca="1">IFERROR(INDEX(Base!F5:F63,MATCH(LARGE(Base!J5:J63,1),Base!J5:J63,0)),"-")</f>
        <v>Diego</v>
      </c>
      <c r="D19" s="45">
        <f ca="1">IFERROR(INDEX(Base!G2:G48,MATCH(LARGE(Base!J2:J48,4),Base!J2:J60,0)),"-")</f>
        <v>46105</v>
      </c>
      <c r="E19" s="46">
        <f ca="1">IFERROR(LARGE(Base!J2:J48,4),"")</f>
        <v>66</v>
      </c>
    </row>
    <row r="20" spans="2:5" ht="27.75" customHeight="1" x14ac:dyDescent="0.3">
      <c r="B20" s="41" t="str">
        <f ca="1">IFERROR(LEFT(INDEX(Base!D6:D52,MATCH(LARGE(Base!J6:J64,1),Base!J6:J64,0)),70),"-")</f>
        <v>PORTABILIDADE INTERNA- Demanda skill preferencial</v>
      </c>
      <c r="C20" s="42" t="str">
        <f ca="1">IFERROR(INDEX(Base!F6:F64,MATCH(LARGE(Base!J6:J64,1),Base!J6:J64,0)),"-")</f>
        <v>Diego</v>
      </c>
      <c r="D20" s="45">
        <f ca="1">IFERROR(INDEX(Base!G2:G48,MATCH(LARGE(Base!J2:J48,5),Base!J2:J48,0)),"-")</f>
        <v>46133</v>
      </c>
      <c r="E20" s="46">
        <f ca="1">IFERROR(LARGE(Base!J2:J48,5),"")</f>
        <v>38</v>
      </c>
    </row>
    <row r="21" spans="2:5" ht="27.75" customHeight="1" x14ac:dyDescent="0.3">
      <c r="B21" s="41" t="str">
        <f ca="1">IFERROR(LEFT(INDEX(Base!D7:D53,MATCH(LARGE(Base!J7:J65,1),Base!J7:J65,0)),70),"-")</f>
        <v>PORTABILIDADE INTERNA- Demanda skill preferencial</v>
      </c>
      <c r="C21" s="42" t="str">
        <f ca="1">IFERROR(INDEX(Base!F7:F65,MATCH(LARGE(Base!J7:J65,1),Base!J7:J65,0)),"-")</f>
        <v>Diego</v>
      </c>
      <c r="D21" s="45">
        <f ca="1">IFERROR(INDEX(Base!G2:G48,MATCH(LARGE(Base!J2:J48,6),Base!J2:J48,0)),"-")</f>
        <v>46148</v>
      </c>
      <c r="E21" s="46">
        <f ca="1">IFERROR(LARGE(Base!J2:J48,6),"")</f>
        <v>23</v>
      </c>
    </row>
    <row r="22" spans="2:5" ht="21.75" customHeight="1" x14ac:dyDescent="0.3"/>
    <row r="23" spans="2:5" ht="21.75" customHeight="1" x14ac:dyDescent="0.3"/>
    <row r="24" spans="2:5" ht="21.75" customHeight="1" x14ac:dyDescent="0.3"/>
    <row r="25" spans="2:5" ht="21.75" customHeight="1" x14ac:dyDescent="0.3"/>
    <row r="26" spans="2:5" ht="21.75" customHeight="1" x14ac:dyDescent="0.3"/>
    <row r="27" spans="2:5" ht="21.75" customHeight="1" x14ac:dyDescent="0.3"/>
    <row r="28" spans="2:5" ht="21.75" customHeight="1" x14ac:dyDescent="0.3"/>
    <row r="29" spans="2:5" ht="21.75" customHeight="1" x14ac:dyDescent="0.3"/>
    <row r="30" spans="2:5" ht="21.75" customHeight="1" x14ac:dyDescent="0.3"/>
    <row r="31" spans="2:5" ht="21.75" customHeight="1" x14ac:dyDescent="0.3"/>
    <row r="32" spans="2:5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39" ht="21.75" customHeight="1" x14ac:dyDescent="0.3"/>
  </sheetData>
  <mergeCells count="3">
    <mergeCell ref="B2:F2"/>
    <mergeCell ref="B7:C7"/>
    <mergeCell ref="B14:F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4"/>
  <sheetViews>
    <sheetView showGridLines="0" zoomScaleNormal="100" workbookViewId="0">
      <pane xSplit="1" ySplit="4" topLeftCell="B10" activePane="bottomRight" state="frozen"/>
      <selection pane="topRight" activeCell="B1" sqref="B1"/>
      <selection pane="bottomLeft" activeCell="A5" sqref="A5"/>
      <selection pane="bottomRight" activeCell="B12" sqref="B12"/>
    </sheetView>
  </sheetViews>
  <sheetFormatPr defaultColWidth="8.6640625" defaultRowHeight="14.4" x14ac:dyDescent="0.3"/>
  <cols>
    <col min="1" max="1" width="2" customWidth="1"/>
    <col min="2" max="2" width="32" customWidth="1"/>
    <col min="3" max="3" width="48" customWidth="1"/>
    <col min="4" max="4" width="22" customWidth="1"/>
    <col min="5" max="5" width="14" customWidth="1"/>
    <col min="6" max="6" width="16" customWidth="1"/>
    <col min="7" max="7" width="2" customWidth="1"/>
  </cols>
  <sheetData>
    <row r="1" spans="2:6" ht="12" customHeight="1" x14ac:dyDescent="0.3"/>
    <row r="2" spans="2:6" ht="43.5" customHeight="1" x14ac:dyDescent="0.3">
      <c r="B2" s="58" t="s">
        <v>134</v>
      </c>
      <c r="C2" s="58"/>
      <c r="D2" s="58"/>
      <c r="E2" s="58"/>
      <c r="F2" s="58"/>
    </row>
    <row r="3" spans="2:6" ht="21.75" customHeight="1" x14ac:dyDescent="0.3">
      <c r="B3" s="59" t="str">
        <f ca="1">"Atualizado em: "&amp;TEXT(TODAY(),"DD/MM/YYYY")&amp;"   |   Total: "&amp;COUNTA(Base!I2:I48)&amp;" ações   |   Concluídas: "&amp;COUNTIF(Base!I2:I48,"Concluído")&amp;"   |   Atrasadas: "&amp;COUNTIF(Base!I2:I48,"Atrasado")&amp;"   |   Em andamento: "&amp;COUNTIF(Base!I2:I48,"Em Andamento")</f>
        <v>Atualizado em: 29/05/YYYY   |   Total: 47 ações   |   Concluídas: 39   |   Atrasadas: 3   |   Em andamento: 5</v>
      </c>
      <c r="C3" s="59"/>
      <c r="D3" s="59"/>
      <c r="E3" s="59"/>
      <c r="F3" s="59"/>
    </row>
    <row r="4" spans="2:6" ht="25.5" customHeight="1" x14ac:dyDescent="0.3">
      <c r="B4" s="47" t="s">
        <v>135</v>
      </c>
      <c r="C4" s="47" t="s">
        <v>136</v>
      </c>
      <c r="D4" s="47" t="s">
        <v>137</v>
      </c>
      <c r="E4" s="47" t="s">
        <v>138</v>
      </c>
      <c r="F4" s="47" t="s">
        <v>139</v>
      </c>
    </row>
    <row r="5" spans="2:6" ht="39.75" customHeight="1" x14ac:dyDescent="0.3">
      <c r="B5" s="48" t="str">
        <f>IFERROR(LEFT(Base!D2,85),"")</f>
        <v>PROTOCOLO DE CONFLITOS NÃO GERADOS PARA O BKO PORTABILIDADE (No fechamento de novembr</v>
      </c>
      <c r="C5" s="48" t="str">
        <f>IFERROR(LEFT(Base!E2,130),"")</f>
        <v>Aberto chamado PDST-2228261 para investigação com equipe do Guilherme Carrasco_x000B_</v>
      </c>
      <c r="D5" s="49" t="str">
        <f>IFERROR(Base!F2,"")</f>
        <v>Guilherme Carrasco</v>
      </c>
      <c r="E5" s="50">
        <f>IFERROR(Base!G2,"-")</f>
        <v>46060</v>
      </c>
      <c r="F5" s="51" t="str">
        <f ca="1">IFERROR(IF(Base!J2&gt;0,Base!I2&amp;" ("&amp;Base!J2&amp;"d atraso)",Base!I2),"")</f>
        <v>Em andamento (111d atraso)</v>
      </c>
    </row>
    <row r="6" spans="2:6" ht="39.75" customHeight="1" x14ac:dyDescent="0.3">
      <c r="B6" s="48" t="str">
        <f>IFERROR(LEFT(Base!D3,85),"")</f>
        <v>PROTOCOLO DE CONFLITOS NÃO GERADOS PARA O BKO PORTABILIDADE (No fechamento de novembr</v>
      </c>
      <c r="C6" s="48" t="str">
        <f>IFERROR(LEFT(Base!E3,130),"")</f>
        <v>Ter alarme para sinalizar falha na integração entre SPN e PS8.</v>
      </c>
      <c r="D6" s="49" t="str">
        <f>IFERROR(Base!F3,"")</f>
        <v>Fauzi</v>
      </c>
      <c r="E6" s="50">
        <f>IFERROR(Base!G3,"-")</f>
        <v>46061</v>
      </c>
      <c r="F6" s="51" t="str">
        <f ca="1">IFERROR(IF(Base!J3&gt;0,Base!I3&amp;" ("&amp;Base!J3&amp;"d atraso)",Base!I3),"")</f>
        <v>Em andamento (110d atraso)</v>
      </c>
    </row>
    <row r="7" spans="2:6" ht="39.75" customHeight="1" x14ac:dyDescent="0.3">
      <c r="B7" s="48" t="str">
        <f>IFERROR(LEFT(Base!D4,85),"")</f>
        <v>SAP – PORTABILIDADE INTERNA (Na reunião de portabilidade realizada em 09/12, foi info</v>
      </c>
      <c r="C7" s="48" t="str">
        <f>IFERROR(LEFT(Base!E4,130),"")</f>
        <v>Aberto PDST-2245268 para investigação com time de OGS (TI). No SAP apresenta a mensagem: “Operadora Doadora auto-preenchida deve s</v>
      </c>
      <c r="D7" s="49" t="str">
        <f>IFERROR(Base!F4,"")</f>
        <v>Janaina Cruz</v>
      </c>
      <c r="E7" s="50">
        <f>IFERROR(Base!G4,"-")</f>
        <v>46062</v>
      </c>
      <c r="F7" s="51" t="str">
        <f ca="1">IFERROR(IF(Base!J4&gt;0,Base!I4&amp;" ("&amp;Base!J4&amp;"d atraso)",Base!I4),"")</f>
        <v>Em andamento (109d atraso)</v>
      </c>
    </row>
    <row r="8" spans="2:6" ht="39.75" customHeight="1" x14ac:dyDescent="0.3">
      <c r="B8" s="48" t="str">
        <f>IFERROR(LEFT(Base!D5,85),"")</f>
        <v>Link do site não esta funcionando de maneira correta</v>
      </c>
      <c r="C8" s="48" t="str">
        <f>IFERROR(LEFT(Base!E5,130),"")</f>
        <v xml:space="preserve">Avaliação e correção do link de status de portabilidade no site </v>
      </c>
      <c r="D8" s="49" t="str">
        <f>IFERROR(Base!F5,"")</f>
        <v>Tânia</v>
      </c>
      <c r="E8" s="50">
        <f>IFERROR(Base!G5,"-")</f>
        <v>46050</v>
      </c>
      <c r="F8" s="51" t="str">
        <f ca="1">IFERROR(IF(Base!J5&gt;0,Base!I5&amp;" ("&amp;Base!J5&amp;"d atraso)",Base!I5),"")</f>
        <v>Atrasado</v>
      </c>
    </row>
    <row r="9" spans="2:6" ht="39.75" customHeight="1" x14ac:dyDescent="0.3">
      <c r="B9" s="48" t="str">
        <f>IFERROR(LEFT(Base!D6,85),"")</f>
        <v>Reunião Portabilidade</v>
      </c>
      <c r="C9" s="48" t="str">
        <f>IFERROR(LEFT(Base!E6,130),"")</f>
        <v>Reforço da comunicação para vendedores e áreas de suporte sobre o fluxo de entrega de chip</v>
      </c>
      <c r="D9" s="49" t="str">
        <f>IFERROR(Base!F6,"")</f>
        <v>Viviane e Natalia</v>
      </c>
      <c r="E9" s="50">
        <f>IFERROR(Base!G6,"-")</f>
        <v>46050</v>
      </c>
      <c r="F9" s="51" t="str">
        <f ca="1">IFERROR(IF(Base!J6&gt;0,Base!I6&amp;" ("&amp;Base!J6&amp;"d atraso)",Base!I6),"")</f>
        <v>Concluído (d atraso)</v>
      </c>
    </row>
    <row r="10" spans="2:6" ht="39.75" customHeight="1" x14ac:dyDescent="0.3">
      <c r="B10" s="48" t="str">
        <f>IFERROR(LEFT(Base!D7,85),"")</f>
        <v xml:space="preserve">Apresentação dos indicadores </v>
      </c>
      <c r="C10" s="48" t="str">
        <f>IFERROR(LEFT(Base!E7,130),"")</f>
        <v xml:space="preserve">Acompanhamento dos indicadores de reagendamento e ocorrências aos finais de semana, com retorno em próxima agenda </v>
      </c>
      <c r="D10" s="49" t="str">
        <f>IFERROR(Base!F7,"")</f>
        <v>Cícera e Galvão</v>
      </c>
      <c r="E10" s="50">
        <f>IFERROR(Base!G7,"-")</f>
        <v>46050</v>
      </c>
      <c r="F10" s="51" t="str">
        <f ca="1">IFERROR(IF(Base!J7&gt;0,Base!I7&amp;" ("&amp;Base!J7&amp;"d atraso)",Base!I7),"")</f>
        <v>Concluído (d atraso)</v>
      </c>
    </row>
    <row r="11" spans="2:6" ht="39.75" customHeight="1" x14ac:dyDescent="0.3">
      <c r="B11" s="48" t="str">
        <f>IFERROR(LEFT(Base!D8,85),"")</f>
        <v>Instabilidades de DDD 6XX / Chip</v>
      </c>
      <c r="C11" s="48" t="str">
        <f>IFERROR(LEFT(Base!E8,130),"")</f>
        <v>Acompanhar chamado casos DDD 6XX  acompanhar os testes com BKO técnico</v>
      </c>
      <c r="D11" s="49" t="str">
        <f>IFERROR(Base!F8,"")</f>
        <v>Diego</v>
      </c>
      <c r="E11" s="50">
        <f>IFERROR(Base!G8,"-")</f>
        <v>46057</v>
      </c>
      <c r="F11" s="51" t="str">
        <f ca="1">IFERROR(IF(Base!J8&gt;0,Base!I8&amp;" ("&amp;Base!J8&amp;"d atraso)",Base!I8),"")</f>
        <v>Concluído (d atraso)</v>
      </c>
    </row>
    <row r="12" spans="2:6" ht="39.75" customHeight="1" x14ac:dyDescent="0.3">
      <c r="B12" s="48" t="str">
        <f>IFERROR(LEFT(Base!D9,85),"")</f>
        <v>DDP OS160257</v>
      </c>
      <c r="C12" s="48" t="str">
        <f>IFERROR(LEFT(Base!E9,130),"")</f>
        <v>TI implantar a correção do sincronismo SPN x BR - Aline verificar prazo com TI</v>
      </c>
      <c r="D12" s="49" t="str">
        <f>IFERROR(Base!F9,"")</f>
        <v>Aline</v>
      </c>
      <c r="E12" s="50">
        <f>IFERROR(Base!G9,"-")</f>
        <v>46057</v>
      </c>
      <c r="F12" s="51" t="str">
        <f ca="1">IFERROR(IF(Base!J9&gt;0,Base!I9&amp;" ("&amp;Base!J9&amp;"d atraso)",Base!I9),"")</f>
        <v>Concluído (d atraso)</v>
      </c>
    </row>
    <row r="13" spans="2:6" ht="39.75" customHeight="1" x14ac:dyDescent="0.3">
      <c r="B13" s="48" t="str">
        <f>IFERROR(LEFT(Base!D10,85),"")</f>
        <v>Bilhete cancelado</v>
      </c>
      <c r="C13" s="48" t="str">
        <f>IFERROR(LEFT(Base!E10,130),"")</f>
        <v>Ajustar lógica de envio de SMS em bilhetes cancelados - Aline verificar com ABR</v>
      </c>
      <c r="D13" s="49" t="str">
        <f>IFERROR(Base!F10,"")</f>
        <v>Aline</v>
      </c>
      <c r="E13" s="50">
        <f>IFERROR(Base!G10,"-")</f>
        <v>46057</v>
      </c>
      <c r="F13" s="51" t="str">
        <f ca="1">IFERROR(IF(Base!J10&gt;0,Base!I10&amp;" ("&amp;Base!J10&amp;"d atraso)",Base!I10),"")</f>
        <v>Concluído (d atraso)</v>
      </c>
    </row>
    <row r="14" spans="2:6" ht="39.75" customHeight="1" x14ac:dyDescent="0.3">
      <c r="B14" s="48" t="str">
        <f>IFERROR(LEFT(Base!D11,85),"")</f>
        <v>Ativação CHIP</v>
      </c>
      <c r="C14" s="48" t="str">
        <f>IFERROR(LEFT(Base!E11,130),"")</f>
        <v>Validar qual é o processo oficial quando o cliente procura a loja solicitando ajuda para ativar o chip, garantindo padronização no</v>
      </c>
      <c r="D14" s="49" t="str">
        <f>IFERROR(Base!F11,"")</f>
        <v xml:space="preserve">  - Borges e Vivi Becker</v>
      </c>
      <c r="E14" s="50">
        <f>IFERROR(Base!G11,"-")</f>
        <v>46057</v>
      </c>
      <c r="F14" s="51" t="str">
        <f ca="1">IFERROR(IF(Base!J11&gt;0,Base!I11&amp;" ("&amp;Base!J11&amp;"d atraso)",Base!I11),"")</f>
        <v>Concluído (d atraso)</v>
      </c>
    </row>
    <row r="15" spans="2:6" ht="39.75" customHeight="1" x14ac:dyDescent="0.3">
      <c r="B15" s="48" t="str">
        <f>IFERROR(LEFT(Base!D12,85),"")</f>
        <v>Ativação CHIP</v>
      </c>
      <c r="C15" s="48" t="str">
        <f>IFERROR(LEFT(Base!E12,130),"")</f>
        <v>Garantir que as informações estejam claras no SIM Card e no Kit Welcome, evitando dúvidas durante o atendimento. </v>
      </c>
      <c r="D15" s="49" t="str">
        <f>IFERROR(Base!F12,"")</f>
        <v>Marketing</v>
      </c>
      <c r="E15" s="50">
        <f>IFERROR(Base!G12,"-")</f>
        <v>46057</v>
      </c>
      <c r="F15" s="51" t="str">
        <f ca="1">IFERROR(IF(Base!J12&gt;0,Base!I12&amp;" ("&amp;Base!J12&amp;"d atraso)",Base!I12),"")</f>
        <v>Concluído (d atraso)</v>
      </c>
    </row>
    <row r="16" spans="2:6" ht="39.75" customHeight="1" x14ac:dyDescent="0.3">
      <c r="B16" s="48" t="str">
        <f>IFERROR(LEFT(Base!D13,85),"")</f>
        <v>Ativação CHIP</v>
      </c>
      <c r="C16" s="48" t="str">
        <f>IFERROR(LEFT(Base!E13,130),"")</f>
        <v>Confirmar se o conteúdo orientativo está disponível para a equipe de atendimento, e identificar onde esse material está localizado</v>
      </c>
      <c r="D16" s="49" t="str">
        <f>IFERROR(Base!F13,"")</f>
        <v xml:space="preserve">  - Borges e Vivi Becker</v>
      </c>
      <c r="E16" s="50">
        <f>IFERROR(Base!G13,"-")</f>
        <v>46058</v>
      </c>
      <c r="F16" s="51" t="str">
        <f ca="1">IFERROR(IF(Base!J13&gt;0,Base!I13&amp;" ("&amp;Base!J13&amp;"d atraso)",Base!I13),"")</f>
        <v>Concluído (d atraso)</v>
      </c>
    </row>
    <row r="17" spans="2:6" ht="39.75" customHeight="1" x14ac:dyDescent="0.3">
      <c r="B17" s="48" t="str">
        <f>IFERROR(LEFT(Base!D14,85),"")</f>
        <v>Instabilidades de DDD 6XX / Chip</v>
      </c>
      <c r="C17" s="48" t="str">
        <f>IFERROR(LEFT(Base!E14,130),"")</f>
        <v xml:space="preserve">Realizar Rastreamento do caso DDD6X, para identificar causa raiz e realizar abrangência para garantir que não tenha mais lote não </v>
      </c>
      <c r="D17" s="49" t="str">
        <f>IFERROR(Base!F14,"")</f>
        <v>Hebert</v>
      </c>
      <c r="E17" s="50">
        <f>IFERROR(Base!G14,"-")</f>
        <v>46064</v>
      </c>
      <c r="F17" s="51" t="str">
        <f ca="1">IFERROR(IF(Base!J14&gt;0,Base!I14&amp;" ("&amp;Base!J14&amp;"d atraso)",Base!I14),"")</f>
        <v>Concluído (d atraso)</v>
      </c>
    </row>
    <row r="18" spans="2:6" ht="39.75" customHeight="1" x14ac:dyDescent="0.3">
      <c r="B18" s="48" t="str">
        <f>IFERROR(LEFT(Base!D15,85),"")</f>
        <v>Instabilidades de DDD 6XX / Chip</v>
      </c>
      <c r="C18" s="48" t="str">
        <f>IFERROR(LEFT(Base!E15,130),"")</f>
        <v>Executar plano de substituição conforme fluxo definido e acompanha impacto do lote DDD6X</v>
      </c>
      <c r="D18" s="49" t="str">
        <f>IFERROR(Base!F15,"")</f>
        <v>Diego</v>
      </c>
      <c r="E18" s="50">
        <f>IFERROR(Base!G15,"-")</f>
        <v>46064</v>
      </c>
      <c r="F18" s="51" t="str">
        <f ca="1">IFERROR(IF(Base!J15&gt;0,Base!I15&amp;" ("&amp;Base!J15&amp;"d atraso)",Base!I15),"")</f>
        <v>Concluído (d atraso)</v>
      </c>
    </row>
    <row r="19" spans="2:6" ht="39.75" customHeight="1" x14ac:dyDescent="0.3">
      <c r="B19" s="48" t="str">
        <f>IFERROR(LEFT(Base!D16,85),"")</f>
        <v>DDP DDPs 160749 e 160750 Falha Atualização do Status do Bilhete</v>
      </c>
      <c r="C19" s="48" t="str">
        <f>IFERROR(LEFT(Base!E16,130),"")</f>
        <v>Validar geração de protocolo pós-tratativa OGS e confirmar regularização do fluxo BKO</v>
      </c>
      <c r="D19" s="49" t="str">
        <f>IFERROR(Base!F16,"")</f>
        <v>Rogerio Galvão</v>
      </c>
      <c r="E19" s="50">
        <f>IFERROR(Base!G16,"-")</f>
        <v>46073</v>
      </c>
      <c r="F19" s="51" t="str">
        <f ca="1">IFERROR(IF(Base!J16&gt;0,Base!I16&amp;" ("&amp;Base!J16&amp;"d atraso)",Base!I16),"")</f>
        <v>Concluído (d atraso)</v>
      </c>
    </row>
    <row r="20" spans="2:6" ht="39.75" customHeight="1" x14ac:dyDescent="0.3">
      <c r="B20" s="48" t="str">
        <f>IFERROR(LEFT(Base!D17,85),"")</f>
        <v>Reunião Portabilidade</v>
      </c>
      <c r="C20" s="48" t="str">
        <f>IFERROR(LEFT(Base!E17,130),"")</f>
        <v>Verificar com André Sbarai a revisão do fluxo de atendimento</v>
      </c>
      <c r="D20" s="49" t="str">
        <f>IFERROR(Base!F17,"")</f>
        <v>Diego</v>
      </c>
      <c r="E20" s="50">
        <f>IFERROR(Base!G17,"-")</f>
        <v>46073</v>
      </c>
      <c r="F20" s="51" t="str">
        <f ca="1">IFERROR(IF(Base!J17&gt;0,Base!I17&amp;" ("&amp;Base!J17&amp;"d atraso)",Base!I17),"")</f>
        <v>Concluído (d atraso)</v>
      </c>
    </row>
    <row r="21" spans="2:6" ht="39.75" customHeight="1" x14ac:dyDescent="0.3">
      <c r="B21" s="48" t="str">
        <f>IFERROR(LEFT(Base!D18,85),"")</f>
        <v>Indicador de reclamações alto na semana 7</v>
      </c>
      <c r="C21" s="48" t="str">
        <f>IFERROR(LEFT(Base!E18,130),"")</f>
        <v>Acompanhar indicadores de CPF divergente</v>
      </c>
      <c r="D21" s="49" t="str">
        <f>IFERROR(Base!F18,"")</f>
        <v xml:space="preserve"> Rogerio Galvão</v>
      </c>
      <c r="E21" s="50">
        <f>IFERROR(Base!G18,"-")</f>
        <v>46073</v>
      </c>
      <c r="F21" s="51" t="str">
        <f ca="1">IFERROR(IF(Base!J18&gt;0,Base!I18&amp;" ("&amp;Base!J18&amp;"d atraso)",Base!I18),"")</f>
        <v>Concluído (d atraso)</v>
      </c>
    </row>
    <row r="22" spans="2:6" ht="39.75" customHeight="1" x14ac:dyDescent="0.3">
      <c r="B22" s="48" t="str">
        <f>IFERROR(LEFT(Base!D19,85),"")</f>
        <v>PA Qualificadora</v>
      </c>
      <c r="C22" s="48" t="str">
        <f>IFERROR(LEFT(Base!E19,130),"")</f>
        <v>obter a fotografia do dia em que os clientes acionaram a PA
Conforme retorno do Diego não é possível incluir a informação do dia d</v>
      </c>
      <c r="D22" s="49" t="str">
        <f>IFERROR(Base!F19,"")</f>
        <v>Diego</v>
      </c>
      <c r="E22" s="50">
        <f>IFERROR(Base!G19,"-")</f>
        <v>46073</v>
      </c>
      <c r="F22" s="51" t="str">
        <f ca="1">IFERROR(IF(Base!J19&gt;0,Base!I19&amp;" ("&amp;Base!J19&amp;"d atraso)",Base!I19),"")</f>
        <v>Concluído (d atraso)</v>
      </c>
    </row>
    <row r="23" spans="2:6" ht="39.75" customHeight="1" x14ac:dyDescent="0.3">
      <c r="B23" s="48" t="str">
        <f>IFERROR(LEFT(Base!D20,85),"")</f>
        <v xml:space="preserve">Qual fluxo adotado quando o token de CPF divergente não funciona.
-, o BKO direciona </v>
      </c>
      <c r="C23" s="48" t="str">
        <f>IFERROR(LEFT(Base!E20,130),"")</f>
        <v>Validar procedimento oficial do fluxo a ser realizado quando o token não foi ativado.</v>
      </c>
      <c r="D23" s="49" t="str">
        <f>IFERROR(Base!F20,"")</f>
        <v xml:space="preserve"> Rogerio Galvão</v>
      </c>
      <c r="E23" s="50">
        <f>IFERROR(Base!G20,"-")</f>
        <v>46085</v>
      </c>
      <c r="F23" s="51" t="str">
        <f ca="1">IFERROR(IF(Base!J20&gt;0,Base!I20&amp;" ("&amp;Base!J20&amp;"d atraso)",Base!I20),"")</f>
        <v>Concluído (d atraso)</v>
      </c>
    </row>
    <row r="24" spans="2:6" ht="39.75" customHeight="1" x14ac:dyDescent="0.3">
      <c r="B24" s="48" t="str">
        <f>IFERROR(LEFT(Base!D21,85),"")</f>
        <v>Indicadores</v>
      </c>
      <c r="C24" s="48" t="str">
        <f>IFERROR(LEFT(Base!E21,130),"")</f>
        <v>Analisar verbatins de reclamações Pré-Pago (jan/fev) para identificar causa raiz.</v>
      </c>
      <c r="D24" s="49" t="str">
        <f>IFERROR(Base!F21,"")</f>
        <v>Daniela</v>
      </c>
      <c r="E24" s="50">
        <f>IFERROR(Base!G21,"-")</f>
        <v>46085</v>
      </c>
      <c r="F24" s="51" t="str">
        <f ca="1">IFERROR(IF(Base!J21&gt;0,Base!I21&amp;" ("&amp;Base!J21&amp;"d atraso)",Base!I21),"")</f>
        <v>Concluído (d atraso)</v>
      </c>
    </row>
    <row r="25" spans="2:6" ht="39.75" customHeight="1" x14ac:dyDescent="0.3">
      <c r="B25" s="48" t="str">
        <f>IFERROR(LEFT(Base!D22,85),"")</f>
        <v>Indicadores</v>
      </c>
      <c r="C25" s="48" t="str">
        <f>IFERROR(LEFT(Base!E22,130),"")</f>
        <v>Avaliar casos de Portabilidade Não Cancelada.</v>
      </c>
      <c r="D25" s="49" t="str">
        <f>IFERROR(Base!F22,"")</f>
        <v>Diego</v>
      </c>
      <c r="E25" s="50">
        <f>IFERROR(Base!G22,"-")</f>
        <v>46085</v>
      </c>
      <c r="F25" s="51" t="str">
        <f ca="1">IFERROR(IF(Base!J22&gt;0,Base!I22&amp;" ("&amp;Base!J22&amp;"d atraso)",Base!I22),"")</f>
        <v>Concluído (d atraso)</v>
      </c>
    </row>
    <row r="26" spans="2:6" ht="39.75" customHeight="1" x14ac:dyDescent="0.3">
      <c r="B26" s="48" t="str">
        <f>IFERROR(LEFT(Base!D23,85),"")</f>
        <v>PORTABILIDADE INTERNA
Identificada falha no fluxo de Portin Interno . Nos casos Singl</v>
      </c>
      <c r="C26" s="48" t="str">
        <f>IFERROR(LEFT(Base!E23,130),"")</f>
        <v>Abrir nova demanda para Mailing Portin Interno para direcionamento URA SKill Preferencial.</v>
      </c>
      <c r="D26" s="49" t="str">
        <f>IFERROR(Base!F23,"")</f>
        <v>Diego</v>
      </c>
      <c r="E26" s="50">
        <f>IFERROR(Base!G23,"-")</f>
        <v>46092</v>
      </c>
      <c r="F26" s="51" t="str">
        <f ca="1">IFERROR(IF(Base!J23&gt;0,Base!I23&amp;" ("&amp;Base!J23&amp;"d atraso)",Base!I23),"")</f>
        <v>Concluído (d atraso)</v>
      </c>
    </row>
    <row r="27" spans="2:6" ht="39.75" customHeight="1" x14ac:dyDescent="0.3">
      <c r="B27" s="48" t="str">
        <f>IFERROR(LEFT(Base!D24,85),"")</f>
        <v>Casos Pré Pago</v>
      </c>
      <c r="C27" s="48" t="str">
        <f>IFERROR(LEFT(Base!E24,130),"")</f>
        <v>Apresentação da avaliação amostral clientes canal Anatel próxima reunião dia 11/03. Respon. :Daniela</v>
      </c>
      <c r="D27" s="49" t="str">
        <f>IFERROR(Base!F24,"")</f>
        <v>Dani Vieira</v>
      </c>
      <c r="E27" s="50">
        <f>IFERROR(Base!G24,"-")</f>
        <v>46092</v>
      </c>
      <c r="F27" s="51" t="str">
        <f ca="1">IFERROR(IF(Base!J24&gt;0,Base!I24&amp;" ("&amp;Base!J24&amp;"d atraso)",Base!I24),"")</f>
        <v>Concluído (d atraso)</v>
      </c>
    </row>
    <row r="28" spans="2:6" ht="39.75" customHeight="1" x14ac:dyDescent="0.3">
      <c r="B28" s="48" t="str">
        <f>IFERROR(LEFT(Base!D25,85),"")</f>
        <v>Portabilidade Sem Bilhete
O cliente entra no atendimento sem bilhete de portabilidade</v>
      </c>
      <c r="C28" s="48" t="str">
        <f>IFERROR(LEFT(Base!E25,130),"")</f>
        <v>Verificar se existe procedimento para tratativa de clientes sem bilhete de portabilidade no atendimento.</v>
      </c>
      <c r="D28" s="49" t="str">
        <f>IFERROR(Base!F25,"")</f>
        <v>Diego/Antonio</v>
      </c>
      <c r="E28" s="50">
        <f>IFERROR(Base!G25,"-")</f>
        <v>46099</v>
      </c>
      <c r="F28" s="51" t="str">
        <f ca="1">IFERROR(IF(Base!J25&gt;0,Base!I25&amp;" ("&amp;Base!J25&amp;"d atraso)",Base!I25),"")</f>
        <v>Concluído (d atraso)</v>
      </c>
    </row>
    <row r="29" spans="2:6" ht="39.75" customHeight="1" x14ac:dyDescent="0.3">
      <c r="B29" s="48" t="str">
        <f>IFERROR(LEFT(Base!D26,85),"")</f>
        <v>PORTABILIDADE INTERNA
de clientes com Portout na Nucell e portin para Claro, onde o c</v>
      </c>
      <c r="C29" s="48" t="str">
        <f>IFERROR(LEFT(Base!E26,130),"")</f>
        <v xml:space="preserve">Priorização da abertura do Mailing para direcionamento na Ura do Skill preferencial. </v>
      </c>
      <c r="D29" s="49" t="str">
        <f>IFERROR(Base!F26,"")</f>
        <v>Diego</v>
      </c>
      <c r="E29" s="50">
        <f>IFERROR(Base!G26,"-")</f>
        <v>46099</v>
      </c>
      <c r="F29" s="51" t="str">
        <f ca="1">IFERROR(IF(Base!J26&gt;0,Base!I26&amp;" ("&amp;Base!J26&amp;"d atraso)",Base!I26),"")</f>
        <v>Concluído (d atraso)</v>
      </c>
    </row>
    <row r="30" spans="2:6" ht="39.75" customHeight="1" x14ac:dyDescent="0.3">
      <c r="B30" s="48" t="str">
        <f>IFERROR(LEFT(Base!D27,85),"")</f>
        <v>PORTABILIDADE INTERNA
de clientes com Portout na Nucell e portin para Claro, onde o c</v>
      </c>
      <c r="C30" s="48" t="str">
        <f>IFERROR(LEFT(Base!E27,130),"")</f>
        <v>Enviar demanda que foi escrita pelo Hugo para acompanhamento da Portabilidade Interna.</v>
      </c>
      <c r="D30" s="49" t="str">
        <f>IFERROR(Base!F27,"")</f>
        <v>Aline</v>
      </c>
      <c r="E30" s="50">
        <f>IFERROR(Base!G27,"-")</f>
        <v>46092</v>
      </c>
      <c r="F30" s="51" t="str">
        <f ca="1">IFERROR(IF(Base!J27&gt;0,Base!I27&amp;" ("&amp;Base!J27&amp;"d atraso)",Base!I27),"")</f>
        <v>Concluído (d atraso)</v>
      </c>
    </row>
    <row r="31" spans="2:6" ht="39.75" customHeight="1" x14ac:dyDescent="0.3">
      <c r="B31" s="48" t="str">
        <f>IFERROR(LEFT(Base!D28,85),"")</f>
        <v>BKO sinalizou volume de protocolos abaixo do esperado na operação.</v>
      </c>
      <c r="C31" s="48" t="str">
        <f>IFERROR(LEFT(Base!E28,130),"")</f>
        <v>Avaliar desvio do volume de protocolo com o time BCC e o João.</v>
      </c>
      <c r="D31" s="49" t="str">
        <f>IFERROR(Base!F28,"")</f>
        <v>Galvão</v>
      </c>
      <c r="E31" s="50">
        <f>IFERROR(Base!G28,"-")</f>
        <v>46092</v>
      </c>
      <c r="F31" s="51" t="str">
        <f ca="1">IFERROR(IF(Base!J28&gt;0,Base!I28&amp;" ("&amp;Base!J28&amp;"d atraso)",Base!I28),"")</f>
        <v>Concluído (d atraso)</v>
      </c>
    </row>
    <row r="32" spans="2:6" ht="39.75" customHeight="1" x14ac:dyDescent="0.3">
      <c r="B32" s="48" t="str">
        <f>IFERROR(LEFT(Base!D29,85),"")</f>
        <v xml:space="preserve">
 Cliente teve bilhete portabilidade cancelado em loja, no qual ocorreram inconsistên</v>
      </c>
      <c r="C32" s="48" t="str">
        <f>IFERROR(LEFT(Base!E29,130),"")</f>
        <v>Montar plano de ação com o time Borges para treinamento e calibração das lojas. Responsável: Natalia</v>
      </c>
      <c r="D32" s="49" t="str">
        <f>IFERROR(Base!F29,"")</f>
        <v>Natalia</v>
      </c>
      <c r="E32" s="50">
        <f>IFERROR(Base!G29,"-")</f>
        <v>46105</v>
      </c>
      <c r="F32" s="51" t="str">
        <f ca="1">IFERROR(IF(Base!J29&gt;0,Base!I29&amp;" ("&amp;Base!J29&amp;"d atraso)",Base!I29),"")</f>
        <v>Concluído (d atraso)</v>
      </c>
    </row>
    <row r="33" spans="2:6" ht="39.75" customHeight="1" x14ac:dyDescent="0.3">
      <c r="B33" s="48" t="str">
        <f>IFERROR(LEFT(Base!D30,85),"")</f>
        <v>Portabilidade e Sobreposição de Canais:
Casos em que a janela de portabilidade foi co</v>
      </c>
      <c r="C33" s="48" t="str">
        <f>IFERROR(LEFT(Base!E30,130),"")</f>
        <v>Analisar motivo da não efetivação da sobreposição</v>
      </c>
      <c r="D33" s="49" t="str">
        <f>IFERROR(Base!F30,"")</f>
        <v>Janaina/ OGS</v>
      </c>
      <c r="E33" s="50">
        <f>IFERROR(Base!G30,"-")</f>
        <v>46105</v>
      </c>
      <c r="F33" s="51" t="str">
        <f ca="1">IFERROR(IF(Base!J30&gt;0,Base!I30&amp;" ("&amp;Base!J30&amp;"d atraso)",Base!I30),"")</f>
        <v>Concluído (d atraso)</v>
      </c>
    </row>
    <row r="34" spans="2:6" ht="39.75" customHeight="1" x14ac:dyDescent="0.3">
      <c r="B34" s="48" t="str">
        <f>IFERROR(LEFT(Base!D31,85),"")</f>
        <v>Aumento manifestações da Anatel</v>
      </c>
      <c r="C34" s="48" t="str">
        <f>IFERROR(LEFT(Base!E31,130),"")</f>
        <v>Avaliar entrega de chip.</v>
      </c>
      <c r="D34" s="49" t="str">
        <f>IFERROR(Base!F31,"")</f>
        <v>Ednalva</v>
      </c>
      <c r="E34" s="50">
        <f>IFERROR(Base!G31,"-")</f>
        <v>46105</v>
      </c>
      <c r="F34" s="51" t="str">
        <f ca="1">IFERROR(IF(Base!J31&gt;0,Base!I31&amp;" ("&amp;Base!J31&amp;"d atraso)",Base!I31),"")</f>
        <v>Concluído (d atraso)</v>
      </c>
    </row>
    <row r="35" spans="2:6" ht="39.75" customHeight="1" x14ac:dyDescent="0.3">
      <c r="B35" s="48" t="str">
        <f>IFERROR(LEFT(Base!D32,85),"")</f>
        <v>Aumento manifestações da Anatel</v>
      </c>
      <c r="C35" s="48" t="str">
        <f>IFERROR(LEFT(Base!E32,130),"")</f>
        <v>Agendar reunião específica para processo de portabilidade sem bilhete</v>
      </c>
      <c r="D35" s="49" t="str">
        <f>IFERROR(Base!F32,"")</f>
        <v>Diego</v>
      </c>
      <c r="E35" s="50">
        <f>IFERROR(Base!G32,"-")</f>
        <v>46105</v>
      </c>
      <c r="F35" s="51" t="str">
        <f ca="1">IFERROR(IF(Base!J32&gt;0,Base!I32&amp;" ("&amp;Base!J32&amp;"d atraso)",Base!I32),"")</f>
        <v>Concluído (d atraso)</v>
      </c>
    </row>
    <row r="36" spans="2:6" ht="39.75" customHeight="1" x14ac:dyDescent="0.3">
      <c r="B36" s="48" t="str">
        <f>IFERROR(LEFT(Base!D33,85),"")</f>
        <v>PORTABILIDADE INTERNA- Demanda skill preferencial</v>
      </c>
      <c r="C36" s="48" t="str">
        <f>IFERROR(LEFT(Base!E33,130),"")</f>
        <v>Abertura de demanda no Hike para maling de direcionamento de Portabilidade Interna para o Skill preferencial.</v>
      </c>
      <c r="D36" s="49" t="str">
        <f>IFERROR(Base!F33,"")</f>
        <v>Diego</v>
      </c>
      <c r="E36" s="50">
        <f>IFERROR(Base!G33,"-")</f>
        <v>46105</v>
      </c>
      <c r="F36" s="51" t="str">
        <f ca="1">IFERROR(IF(Base!J33&gt;0,Base!I33&amp;" ("&amp;Base!J33&amp;"d atraso)",Base!I33),"")</f>
        <v>Em andamento (66d atraso)</v>
      </c>
    </row>
    <row r="37" spans="2:6" ht="39.75" customHeight="1" x14ac:dyDescent="0.3">
      <c r="B37" s="48" t="str">
        <f>IFERROR(LEFT(Base!D34,85),"")</f>
        <v>Implantação da melhoria nas mensagens do sistema ativação simplificada eliminando men</v>
      </c>
      <c r="C37" s="48" t="str">
        <f>IFERROR(LEFT(Base!E34,130),"")</f>
        <v xml:space="preserve">Enviar comunicado para os canais de vendas. </v>
      </c>
      <c r="D37" s="49" t="str">
        <f>IFERROR(Base!F34,"")</f>
        <v>Viviane</v>
      </c>
      <c r="E37" s="50">
        <f>IFERROR(Base!G34,"-")</f>
        <v>46105</v>
      </c>
      <c r="F37" s="51" t="str">
        <f ca="1">IFERROR(IF(Base!J34&gt;0,Base!I34&amp;" ("&amp;Base!J34&amp;"d atraso)",Base!I34),"")</f>
        <v>Concluído (d atraso)</v>
      </c>
    </row>
    <row r="38" spans="2:6" ht="39.75" customHeight="1" x14ac:dyDescent="0.3">
      <c r="B38" s="48" t="str">
        <f>IFERROR(LEFT(Base!D35,85),"")</f>
        <v>PA Qualificadora</v>
      </c>
      <c r="C38" s="48" t="str">
        <f>IFERROR(LEFT(Base!E35,130),"")</f>
        <v>Envio da PA Qualificcadora</v>
      </c>
      <c r="D38" s="49" t="str">
        <f>IFERROR(Base!F35,"")</f>
        <v>Diego</v>
      </c>
      <c r="E38" s="50">
        <f>IFERROR(Base!G35,"-")</f>
        <v>46108</v>
      </c>
      <c r="F38" s="51" t="str">
        <f ca="1">IFERROR(IF(Base!J35&gt;0,Base!I35&amp;" ("&amp;Base!J35&amp;"d atraso)",Base!I35),"")</f>
        <v>Concluído (d atraso)</v>
      </c>
    </row>
    <row r="39" spans="2:6" ht="39.75" customHeight="1" x14ac:dyDescent="0.3">
      <c r="B39" s="48" t="str">
        <f>IFERROR(LEFT(Base!D36,85),"")</f>
        <v>Processos nas Lojas
 Clientes relataram que vendedores estão retendo o chip, o que im</v>
      </c>
      <c r="C39" s="48" t="str">
        <f>IFERROR(LEFT(Base!E36,130),"")</f>
        <v>Publicar comunicado de reforço por 3 semanas card em 24/03 (nº 1323505931) e haverá reforço operacional junto a vendedores e geren</v>
      </c>
      <c r="D39" s="49" t="str">
        <f>IFERROR(Base!F36,"")</f>
        <v>Natalia</v>
      </c>
      <c r="E39" s="50">
        <f>IFERROR(Base!G36,"-")</f>
        <v>46113</v>
      </c>
      <c r="F39" s="51" t="str">
        <f ca="1">IFERROR(IF(Base!J36&gt;0,Base!I36&amp;" ("&amp;Base!J36&amp;"d atraso)",Base!I36),"")</f>
        <v>Concluído (d atraso)</v>
      </c>
    </row>
    <row r="40" spans="2:6" ht="39.75" customHeight="1" x14ac:dyDescent="0.3">
      <c r="B40" s="48" t="str">
        <f>IFERROR(LEFT(Base!D37,85),"")</f>
        <v>Sistema Ativação Simplificada</v>
      </c>
      <c r="C40" s="48" t="str">
        <f>IFERROR(LEFT(Base!E37,130),"")</f>
        <v>Envio do comunicado sobre Mensagens de Portabilidade no Sistema Ativação Simplificada para todos os canais.</v>
      </c>
      <c r="D40" s="49" t="str">
        <f>IFERROR(Base!F37,"")</f>
        <v>Vivi</v>
      </c>
      <c r="E40" s="50">
        <f>IFERROR(Base!G37,"-")</f>
        <v>46105</v>
      </c>
      <c r="F40" s="51" t="str">
        <f ca="1">IFERROR(IF(Base!J37&gt;0,Base!I37&amp;" ("&amp;Base!J37&amp;"d atraso)",Base!I37),"")</f>
        <v>Concluído (d atraso)</v>
      </c>
    </row>
    <row r="41" spans="2:6" ht="39.75" customHeight="1" x14ac:dyDescent="0.3">
      <c r="B41" s="48" t="str">
        <f>IFERROR(LEFT(Base!D38,85),"")</f>
        <v>Portabilidade e Sobreposição
Solicitação de portabilidade de Pré Pago para sobrepor u</v>
      </c>
      <c r="C41" s="48" t="str">
        <f>IFERROR(LEFT(Base!E38,130),"")</f>
        <v xml:space="preserve">Identificar possíveis causas operacionais ou sistêmicas </v>
      </c>
      <c r="D41" s="49" t="str">
        <f>IFERROR(Base!F38,"")</f>
        <v>Borges</v>
      </c>
      <c r="E41" s="50">
        <f>IFERROR(Base!G38,"-")</f>
        <v>46115</v>
      </c>
      <c r="F41" s="51" t="str">
        <f ca="1">IFERROR(IF(Base!J38&gt;0,Base!I38&amp;" ("&amp;Base!J38&amp;"d atraso)",Base!I38),"")</f>
        <v>Concluído (d atraso)</v>
      </c>
    </row>
    <row r="42" spans="2:6" ht="39.75" customHeight="1" x14ac:dyDescent="0.3">
      <c r="B42" s="48" t="str">
        <f>IFERROR(LEFT(Base!D39,85),"")</f>
        <v>Aumento de conflitos de CPF divergente sem tratamento em loja, principalmente em clie</v>
      </c>
      <c r="C42" s="48" t="str">
        <f>IFERROR(LEFT(Base!E39,130),"")</f>
        <v>1. Verificar se há alguma falha sistêmica</v>
      </c>
      <c r="D42" s="49" t="str">
        <f>IFERROR(Base!F39,"")</f>
        <v>Borges</v>
      </c>
      <c r="E42" s="50">
        <f>IFERROR(Base!G39,"-")</f>
        <v>46115</v>
      </c>
      <c r="F42" s="51" t="str">
        <f ca="1">IFERROR(IF(Base!J39&gt;0,Base!I39&amp;" ("&amp;Base!J39&amp;"d atraso)",Base!I39),"")</f>
        <v>Concluído (d atraso)</v>
      </c>
    </row>
    <row r="43" spans="2:6" ht="39.75" customHeight="1" x14ac:dyDescent="0.3">
      <c r="B43" s="48" t="str">
        <f>IFERROR(LEFT(Base!D40,85),"")</f>
        <v>Aumento de conflitos de CPF divergente sem tratamento em loja, principalmente em clie</v>
      </c>
      <c r="C43" s="48" t="str">
        <f>IFERROR(LEFT(Base!E40,130),"")</f>
        <v>2. Caso não seja verificado erro sistêmico, será realizado reforço pontual, comunicado e, se necessário, visita às lojas.</v>
      </c>
      <c r="D43" s="49" t="str">
        <f>IFERROR(Base!F40,"")</f>
        <v>Natalia</v>
      </c>
      <c r="E43" s="50">
        <f>IFERROR(Base!G40,"-")</f>
        <v>46115</v>
      </c>
      <c r="F43" s="51" t="str">
        <f ca="1">IFERROR(IF(Base!J40&gt;0,Base!I40&amp;" ("&amp;Base!J40&amp;"d atraso)",Base!I40),"")</f>
        <v>Concluído (d atraso)</v>
      </c>
    </row>
    <row r="44" spans="2:6" ht="39.75" customHeight="1" x14ac:dyDescent="0.3">
      <c r="B44" s="48" t="str">
        <f>IFERROR(LEFT(Base!#REF!,85),"")</f>
        <v/>
      </c>
      <c r="C44" s="48" t="str">
        <f>IFERROR(LEFT(Base!#REF!,130),"")</f>
        <v/>
      </c>
      <c r="D44" s="49" t="str">
        <f>IFERROR(Base!#REF!,"")</f>
        <v/>
      </c>
      <c r="E44" s="50" t="str">
        <f>IFERROR(Base!#REF!,"-")</f>
        <v>-</v>
      </c>
      <c r="F44" s="51" t="str">
        <f>IFERROR(IF(Base!#REF!&gt;0,Base!#REF!&amp;" ("&amp;Base!#REF!&amp;"d atraso)",Base!#REF!),"")</f>
        <v/>
      </c>
    </row>
    <row r="45" spans="2:6" ht="39.75" customHeight="1" x14ac:dyDescent="0.3">
      <c r="B45" s="48" t="str">
        <f>IFERROR(LEFT(Base!#REF!,85),"")</f>
        <v/>
      </c>
      <c r="C45" s="48" t="str">
        <f>IFERROR(LEFT(Base!#REF!,130),"")</f>
        <v/>
      </c>
      <c r="D45" s="49" t="str">
        <f>IFERROR(Base!#REF!,"")</f>
        <v/>
      </c>
      <c r="E45" s="50" t="str">
        <f>IFERROR(Base!#REF!,"-")</f>
        <v>-</v>
      </c>
      <c r="F45" s="51" t="str">
        <f>IFERROR(IF(Base!#REF!&gt;0,Base!#REF!&amp;" ("&amp;Base!#REF!&amp;"d atraso)",Base!#REF!),"")</f>
        <v/>
      </c>
    </row>
    <row r="46" spans="2:6" ht="39.75" customHeight="1" x14ac:dyDescent="0.3">
      <c r="B46" s="48" t="str">
        <f>IFERROR(LEFT(Base!D41,85),"")</f>
        <v>CANCELAMENTO NÃO REALIZADO (Conforme análise de verbatins dos clientes, existem muita</v>
      </c>
      <c r="C46" s="48" t="str">
        <f>IFERROR(LEFT(Base!E41,130),"")</f>
        <v>Ampliar análise de casos de cancelamento não realizado para maior assertividade.</v>
      </c>
      <c r="D46" s="49" t="str">
        <f>IFERROR(Base!F41,"")</f>
        <v>Diego</v>
      </c>
      <c r="E46" s="50">
        <f>IFERROR(Base!G41,"-")</f>
        <v>46133</v>
      </c>
      <c r="F46" s="51" t="str">
        <f ca="1">IFERROR(IF(Base!J41&gt;0,Base!I41&amp;" ("&amp;Base!J41&amp;"d atraso)",Base!I41),"")</f>
        <v>Em andamento (38d atraso)</v>
      </c>
    </row>
    <row r="47" spans="2:6" ht="39.75" customHeight="1" x14ac:dyDescent="0.3">
      <c r="B47" s="48" t="str">
        <f>IFERROR(LEFT(Base!D42,85),"")</f>
        <v>Token Anatel</v>
      </c>
      <c r="C47" s="48" t="str">
        <f>IFERROR(LEFT(Base!E42,130),"")</f>
        <v>Selecionar e documentar casos de Token ANATEL (Ativação Simplificada) para abertura de chamado.</v>
      </c>
      <c r="D47" s="49" t="str">
        <f>IFERROR(Base!F42,"")</f>
        <v>Cristiane</v>
      </c>
      <c r="E47" s="50">
        <f>IFERROR(Base!G42,"-")</f>
        <v>46133</v>
      </c>
      <c r="F47" s="51" t="str">
        <f ca="1">IFERROR(IF(Base!J42&gt;0,Base!I42&amp;" ("&amp;Base!J42&amp;"d atraso)",Base!I42),"")</f>
        <v>Concluído (d atraso)</v>
      </c>
    </row>
    <row r="48" spans="2:6" ht="39.75" customHeight="1" x14ac:dyDescent="0.3">
      <c r="B48" s="48" t="str">
        <f>IFERROR(LEFT(Base!D43,85),"")</f>
        <v>Lentidão SPN (Token e Bilhete)
Atraso em relação aos bilhetes e token da ABR</v>
      </c>
      <c r="C48" s="48" t="str">
        <f>IFERROR(LEFT(Base!E43,130),"")</f>
        <v>Continuar monitorando possíveis ocorrências de lentidão no SPN, especialmente em janelas de pico, com foco em bilhete, reagendamen</v>
      </c>
      <c r="D48" s="49" t="str">
        <f>IFERROR(Base!F43,"")</f>
        <v>Galvão, Roldão, Diego e Cícera</v>
      </c>
      <c r="E48" s="50">
        <f>IFERROR(Base!G43,"-")</f>
        <v>46142</v>
      </c>
      <c r="F48" s="51" t="str">
        <f ca="1">IFERROR(IF(Base!J43&gt;0,Base!I43&amp;" ("&amp;Base!J43&amp;"d atraso)",Base!I43),"")</f>
        <v>Concluído (d atraso)</v>
      </c>
    </row>
    <row r="49" spans="2:6" ht="39.75" customHeight="1" x14ac:dyDescent="0.3">
      <c r="B49" s="48" t="str">
        <f>IFERROR(LEFT(Base!D44,85),"")</f>
        <v>Chamado ABR – SPN / Token
Atraso em relação aos bilhetes e token da ABR</v>
      </c>
      <c r="C49" s="48" t="str">
        <f>IFERROR(LEFT(Base!E44,130),"")</f>
        <v>Acompanhar o chamado junto à ABR e reforçar a cobrança para identificação da causa raiz, visando evitar novos impactos operacionai</v>
      </c>
      <c r="D49" s="49" t="str">
        <f>IFERROR(Base!F44,"")</f>
        <v>Aline</v>
      </c>
      <c r="E49" s="50">
        <f>IFERROR(Base!G44,"-")</f>
        <v>46142</v>
      </c>
      <c r="F49" s="51" t="str">
        <f ca="1">IFERROR(IF(Base!J44&gt;0,Base!I44&amp;" ("&amp;Base!J44&amp;"d atraso)",Base!I44),"")</f>
        <v>Concluído (d atraso)</v>
      </c>
    </row>
    <row r="50" spans="2:6" ht="39.75" customHeight="1" x14ac:dyDescent="0.3">
      <c r="B50" s="48" t="str">
        <f>IFERROR(LEFT(Base!D45,85),"")</f>
        <v>Flex – Portabilidade Não Realizada
Foi identificado que o sistema não estava enviando</v>
      </c>
      <c r="C50" s="48" t="str">
        <f>IFERROR(LEFT(Base!E45,130),"")</f>
        <v xml:space="preserve">Avaliar se a falha no envio do código para logística, decorrente da migração do SAP, está impactando o aumento das reclamações de </v>
      </c>
      <c r="D50" s="49" t="str">
        <f>IFERROR(Base!F45,"")</f>
        <v>Ieda</v>
      </c>
      <c r="E50" s="50">
        <f>IFERROR(Base!G45,"-")</f>
        <v>46142</v>
      </c>
      <c r="F50" s="51" t="str">
        <f ca="1">IFERROR(IF(Base!J45&gt;0,Base!I45&amp;" ("&amp;Base!J45&amp;"d atraso)",Base!I45),"")</f>
        <v>Concluído (d atraso)</v>
      </c>
    </row>
    <row r="51" spans="2:6" ht="39.75" customHeight="1" x14ac:dyDescent="0.3">
      <c r="B51" s="48" t="str">
        <f>IFERROR(LEFT(Base!D46,85),"")</f>
        <v>Foram discutidos casos de clientes em processo de portabilidade que não receberam o c</v>
      </c>
      <c r="C51" s="48" t="str">
        <f>IFERROR(LEFT(Base!E46,130),"")</f>
        <v>Realizar reunião de alinhamento sobre casos MVNO sem chip e definição de devolução/estorno.</v>
      </c>
      <c r="D51" s="49" t="str">
        <f>IFERROR(Base!F46,"")</f>
        <v>Tania</v>
      </c>
      <c r="E51" s="50">
        <f>IFERROR(Base!G46,"-")</f>
        <v>46148</v>
      </c>
      <c r="F51" s="51" t="str">
        <f ca="1">IFERROR(IF(Base!J46&gt;0,Base!I46&amp;" ("&amp;Base!J46&amp;"d atraso)",Base!I46),"")</f>
        <v>Atrasado (23d atraso)</v>
      </c>
    </row>
    <row r="52" spans="2:6" ht="39.75" customHeight="1" x14ac:dyDescent="0.3">
      <c r="B52" s="48" t="str">
        <f>IFERROR(LEFT(Base!D47,85),"")</f>
        <v>A ABR foi acionada no final de semana devido a instabilidades, durante uma manutenção</v>
      </c>
      <c r="C52" s="48" t="str">
        <f>IFERROR(LEFT(Base!E47,130),"")</f>
        <v>Acionar TI para cobrança de prazo e tratamento da lentidão interna.</v>
      </c>
      <c r="D52" s="49" t="str">
        <f>IFERROR(Base!F47,"")</f>
        <v>Aline</v>
      </c>
      <c r="E52" s="50">
        <f>IFERROR(Base!G47,"-")</f>
        <v>46148</v>
      </c>
      <c r="F52" s="51" t="str">
        <f ca="1">IFERROR(IF(Base!J47&gt;0,Base!I47&amp;" ("&amp;Base!J47&amp;"d atraso)",Base!I47),"")</f>
        <v>Concluído (d atraso)</v>
      </c>
    </row>
    <row r="53" spans="2:6" ht="39.75" customHeight="1" x14ac:dyDescent="0.3">
      <c r="B53" s="48" t="str">
        <f>IFERROR(LEFT(Base!D48,85),"")</f>
        <v>Foi discutido sobre os planos de ações em andamento relacionados ao cliente em loja p</v>
      </c>
      <c r="C53" s="48" t="str">
        <f>IFERROR(LEFT(Base!E48,130),"")</f>
        <v xml:space="preserve">Definir e comunicar data do workshop em lojas. </v>
      </c>
      <c r="D53" s="49" t="str">
        <f>IFERROR(Base!F48,"")</f>
        <v>Borges</v>
      </c>
      <c r="E53" s="50">
        <f>IFERROR(Base!G48,"-")</f>
        <v>46148</v>
      </c>
      <c r="F53" s="51" t="str">
        <f ca="1">IFERROR(IF(Base!J48&gt;0,Base!I48&amp;" ("&amp;Base!J48&amp;"d atraso)",Base!I48),"")</f>
        <v>Atrasado (23d atraso)</v>
      </c>
    </row>
    <row r="54" spans="2:6" ht="39.75" customHeight="1" x14ac:dyDescent="0.3">
      <c r="B54" s="48" t="str">
        <f>IFERROR(LEFT(Base!#REF!,85),"")</f>
        <v/>
      </c>
      <c r="C54" s="48" t="str">
        <f>IFERROR(LEFT(Base!#REF!,130),"")</f>
        <v/>
      </c>
      <c r="D54" s="49" t="str">
        <f>IFERROR(Base!#REF!,"")</f>
        <v/>
      </c>
      <c r="E54" s="50" t="str">
        <f>IFERROR(Base!#REF!,"-")</f>
        <v>-</v>
      </c>
      <c r="F54" s="51" t="str">
        <f>IFERROR(IF(Base!#REF!&gt;0,Base!#REF!&amp;" ("&amp;Base!#REF!&amp;"d atraso)",Base!#REF!),"")</f>
        <v/>
      </c>
    </row>
  </sheetData>
  <mergeCells count="2">
    <mergeCell ref="B2:F2"/>
    <mergeCell ref="B3:F3"/>
  </mergeCells>
  <conditionalFormatting sqref="B5:E54">
    <cfRule type="expression" dxfId="5" priority="5">
      <formula>ISNUMBER(SEARCH("Concluído",$F5))</formula>
    </cfRule>
    <cfRule type="expression" dxfId="4" priority="6">
      <formula>ISNUMBER(SEARCH("Atrasado",$F5))</formula>
    </cfRule>
    <cfRule type="expression" dxfId="3" priority="7">
      <formula>ISNUMBER(SEARCH("Em Andamento",$F5))</formula>
    </cfRule>
  </conditionalFormatting>
  <conditionalFormatting sqref="F5:F54">
    <cfRule type="expression" dxfId="2" priority="2">
      <formula>ISNUMBER(SEARCH("Concluído",F5))</formula>
    </cfRule>
    <cfRule type="expression" dxfId="1" priority="3">
      <formula>ISNUMBER(SEARCH("Atrasado",F5))</formula>
    </cfRule>
    <cfRule type="expression" dxfId="0" priority="4">
      <formula>ISNUMBER(SEARCH("Em Andamento",F5))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📊 Dashboard</vt:lpstr>
      <vt:lpstr>📋 Resumo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Ieda Sevieri Biso</cp:lastModifiedBy>
  <cp:revision>4</cp:revision>
  <dcterms:created xsi:type="dcterms:W3CDTF">2026-05-07T13:13:35Z</dcterms:created>
  <dcterms:modified xsi:type="dcterms:W3CDTF">2026-05-29T16:26:11Z</dcterms:modified>
  <dc:language>en-US</dc:language>
</cp:coreProperties>
</file>